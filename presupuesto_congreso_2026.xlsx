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Resumen" sheetId="1" state="visible" r:id="rId1"/>
    <sheet xmlns:r="http://schemas.openxmlformats.org/officeDocument/2006/relationships" name="💰 Gastos" sheetId="2" state="visible" r:id="rId2"/>
    <sheet xmlns:r="http://schemas.openxmlformats.org/officeDocument/2006/relationships" name="🤝 Auspicios" sheetId="3" state="visible" r:id="rId3"/>
    <sheet xmlns:r="http://schemas.openxmlformats.org/officeDocument/2006/relationships" name="🎟️ Ent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CLP&quot;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888888"/>
      <sz val="9"/>
    </font>
    <font>
      <name val="Arial"/>
      <color rgb="00000000"/>
      <sz val="10"/>
    </font>
    <font>
      <name val="Arial"/>
      <color rgb="00555555"/>
      <sz val="9"/>
    </font>
    <font>
      <name val="Arial"/>
      <color rgb="000000CD"/>
      <sz val="10"/>
    </font>
    <font>
      <name val="Arial"/>
      <b val="1"/>
      <color rgb="00000000"/>
      <sz val="10"/>
    </font>
    <font>
      <name val="Arial"/>
      <i val="1"/>
      <color rgb="00777777"/>
      <sz val="9"/>
    </font>
    <font>
      <name val="Arial"/>
      <b val="1"/>
      <color rgb="00FFFFFF"/>
      <sz val="12"/>
    </font>
    <font>
      <name val="Arial"/>
      <i val="1"/>
      <color rgb="000000CD"/>
      <sz val="9"/>
    </font>
    <font>
      <name val="Arial"/>
      <i val="1"/>
      <color rgb="00000000"/>
      <sz val="9"/>
    </font>
    <font>
      <name val="Arial"/>
      <i val="1"/>
      <color rgb="00C0392B"/>
      <sz val="9"/>
    </font>
    <font>
      <name val="Arial"/>
      <b val="1"/>
      <color rgb="003D2B00"/>
      <sz val="10"/>
    </font>
    <font>
      <name val="Arial"/>
      <i val="1"/>
      <color rgb="00333333"/>
      <sz val="9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22222"/>
      <sz val="11"/>
    </font>
  </fonts>
  <fills count="1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4FA3"/>
      </patternFill>
    </fill>
    <fill>
      <patternFill patternType="solid">
        <fgColor rgb="00FFFFFF"/>
      </patternFill>
    </fill>
    <fill>
      <patternFill patternType="solid">
        <fgColor rgb="00EBF5FB"/>
      </patternFill>
    </fill>
    <fill>
      <patternFill patternType="solid">
        <fgColor rgb="00F4F6FA"/>
      </patternFill>
    </fill>
    <fill>
      <patternFill patternType="solid">
        <fgColor rgb="00FFF3CD"/>
      </patternFill>
    </fill>
    <fill>
      <patternFill patternType="solid">
        <fgColor rgb="00D4A017"/>
      </patternFill>
    </fill>
    <fill>
      <patternFill patternType="solid">
        <fgColor rgb="001A7B6B"/>
      </patternFill>
    </fill>
    <fill>
      <patternFill patternType="solid">
        <fgColor rgb="00C0392B"/>
      </patternFill>
    </fill>
    <fill>
      <patternFill patternType="solid">
        <fgColor rgb="00F7F9FC"/>
      </patternFill>
    </fill>
    <fill>
      <patternFill patternType="solid">
        <fgColor rgb="00D4AC0D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left" vertical="center"/>
    </xf>
    <xf numFmtId="164" fontId="17" fillId="10" borderId="1" applyAlignment="1" pivotButton="0" quotePrefix="0" xfId="0">
      <alignment horizontal="right" vertical="center"/>
    </xf>
    <xf numFmtId="0" fontId="0" fillId="0" borderId="5" pivotButton="0" quotePrefix="0" xfId="0"/>
    <xf numFmtId="0" fontId="3" fillId="9" borderId="1" applyAlignment="1" pivotButton="0" quotePrefix="0" xfId="0">
      <alignment horizontal="center" vertical="center"/>
    </xf>
    <xf numFmtId="164" fontId="17" fillId="9" borderId="1" applyAlignment="1" pivotButton="0" quotePrefix="0" xfId="0">
      <alignment horizontal="right" vertical="center"/>
    </xf>
    <xf numFmtId="164" fontId="17" fillId="1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4" fontId="17" fillId="3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right" vertical="center"/>
    </xf>
    <xf numFmtId="165" fontId="17" fillId="9" borderId="1" applyAlignment="1" pivotButton="0" quotePrefix="0" xfId="0">
      <alignment horizontal="right" vertical="center"/>
    </xf>
    <xf numFmtId="165" fontId="17" fillId="8" borderId="1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164" fontId="9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right" vertical="center"/>
    </xf>
    <xf numFmtId="0" fontId="3" fillId="2" borderId="2" applyAlignment="1" pivotButton="0" quotePrefix="0" xfId="0">
      <alignment horizontal="right" vertical="center"/>
    </xf>
    <xf numFmtId="164" fontId="11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164" fontId="3" fillId="2" borderId="2" applyAlignment="1" pivotButton="0" quotePrefix="0" xfId="0">
      <alignment horizontal="right" vertical="center"/>
    </xf>
    <xf numFmtId="0" fontId="17" fillId="2" borderId="0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3" fillId="9" borderId="2" applyAlignment="1" pivotButton="0" quotePrefix="0" xfId="0">
      <alignment horizontal="right" vertical="center"/>
    </xf>
    <xf numFmtId="164" fontId="11" fillId="9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4FA3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</cols>
  <sheetData>
    <row r="1" ht="45" customHeight="1">
      <c r="A1" s="1" t="inlineStr">
        <is>
          <t>📊 RESUMEN FINANCIERO — CONGRESO ELECTRÓNICO 2026</t>
        </is>
      </c>
    </row>
    <row r="2" ht="22" customHeight="1">
      <c r="A2" s="2" t="inlineStr">
        <is>
          <t>Este resumen se actualiza solo al modificar las hojas Gastos, Auspicios y Entradas</t>
        </is>
      </c>
    </row>
    <row r="4" ht="26" customHeight="1">
      <c r="A4" s="3" t="inlineStr">
        <is>
          <t>▶  GASTOS</t>
        </is>
      </c>
    </row>
    <row r="5" ht="32" customHeight="1">
      <c r="A5" s="4" t="inlineStr">
        <is>
          <t>💸  Total Presupuesto de Gastos</t>
        </is>
      </c>
      <c r="B5" s="5">
        <f>'💰 Gastos'!F48</f>
        <v/>
      </c>
      <c r="C5" s="6" t="n"/>
    </row>
    <row r="7" ht="26" customHeight="1">
      <c r="A7" s="7" t="inlineStr">
        <is>
          <t>▶  INGRESOS</t>
        </is>
      </c>
    </row>
    <row r="8" ht="32" customHeight="1">
      <c r="A8" s="4" t="inlineStr">
        <is>
          <t>🎟️  Ingresos proyectados por entradas</t>
        </is>
      </c>
      <c r="B8" s="8">
        <f>'🎟️ Entradas'!H12</f>
        <v/>
      </c>
      <c r="C8" s="6" t="n"/>
    </row>
    <row r="9" ht="32" customHeight="1">
      <c r="A9" s="4" t="inlineStr">
        <is>
          <t>🤝  Auspicios acordados (total convenios)</t>
        </is>
      </c>
      <c r="B9" s="9">
        <f>'🤝 Auspicios'!D25</f>
        <v/>
      </c>
      <c r="C9" s="6" t="n"/>
    </row>
    <row r="10" ht="32" customHeight="1">
      <c r="A10" s="4" t="inlineStr">
        <is>
          <t>💵  Auspicios recibidos (dinero en caja)</t>
        </is>
      </c>
      <c r="B10" s="8">
        <f>'🤝 Auspicios'!E25</f>
        <v/>
      </c>
      <c r="C10" s="6" t="n"/>
    </row>
    <row r="12" ht="26" customHeight="1">
      <c r="A12" s="10" t="inlineStr">
        <is>
          <t>▶  BALANCE Y NECESIDADES</t>
        </is>
      </c>
    </row>
    <row r="13" ht="32" customHeight="1">
      <c r="A13" s="4" t="inlineStr">
        <is>
          <t>📈  Total ingresos proyectados (entradas + auspicios acordados)</t>
        </is>
      </c>
      <c r="B13" s="11">
        <f>'🎟️ Entradas'!H12+'🤝 Auspicios'!D25</f>
        <v/>
      </c>
      <c r="C13" s="6" t="n"/>
    </row>
    <row r="14" ht="32" customHeight="1">
      <c r="A14" s="4" t="inlineStr">
        <is>
          <t>💰  Balance neto (Ingresos proyectados − Gastos)</t>
        </is>
      </c>
      <c r="B14" s="12">
        <f>'🎟️ Entradas'!H12+'🤝 Auspicios'!D25-'💰 Gastos'!F48</f>
        <v/>
      </c>
      <c r="C14" s="6" t="n"/>
    </row>
    <row r="15" ht="32" customHeight="1">
      <c r="A15" s="4" t="inlineStr">
        <is>
          <t>🎯  ⚠️  Monto aún necesario (solo con caja real recibida)</t>
        </is>
      </c>
      <c r="B15" s="5">
        <f>'💰 Gastos'!F48-'🎟️ Entradas'!H12-'🤝 Auspicios'!E25</f>
        <v/>
      </c>
      <c r="C15" s="6" t="n"/>
    </row>
    <row r="17" ht="20" customHeight="1">
      <c r="A17" s="10" t="inlineStr">
        <is>
          <t>▶  COBERTURA DEL PRESUPUESTO</t>
        </is>
      </c>
    </row>
    <row r="18" ht="28" customHeight="1">
      <c r="A18" s="4" t="inlineStr">
        <is>
          <t>% del presupuesto cubierto (ingresos totales / gastos)</t>
        </is>
      </c>
      <c r="B18" s="13">
        <f>IFERROR(('🎟️ Entradas'!H12+'🤝 Auspicios'!D25)/'💰 Gastos'!F48,0)</f>
        <v/>
      </c>
      <c r="C18" s="6" t="n"/>
    </row>
    <row r="19" ht="28" customHeight="1">
      <c r="A19" s="4" t="inlineStr">
        <is>
          <t>% cubierto con dinero en caja real (auspicios recibidos + entradas)</t>
        </is>
      </c>
      <c r="B19" s="14">
        <f>IFERROR(('🎟️ Entradas'!H12+'🤝 Auspicios'!E25)/'💰 Gastos'!F48,0)</f>
        <v/>
      </c>
      <c r="C19" s="6" t="n"/>
    </row>
    <row r="21" ht="35" customHeight="1">
      <c r="A21" s="15" t="inlineStr">
        <is>
          <t>💡 Instrucciones: Esta hoja no se edita directamente. Ve a 💰 Gastos para ajustar el presupuesto · Ve a 🤝 Auspicios para registrar auspiciadores · Ve a 🎟️ Entradas para ajustar precios y asistentes esperados.</t>
        </is>
      </c>
    </row>
  </sheetData>
  <mergeCells count="16">
    <mergeCell ref="B13:C13"/>
    <mergeCell ref="B18:C18"/>
    <mergeCell ref="B15:C15"/>
    <mergeCell ref="A1:C1"/>
    <mergeCell ref="B5:C5"/>
    <mergeCell ref="B19:C19"/>
    <mergeCell ref="A12:C12"/>
    <mergeCell ref="B10:C10"/>
    <mergeCell ref="A17:C17"/>
    <mergeCell ref="B14:C14"/>
    <mergeCell ref="A7:C7"/>
    <mergeCell ref="A21:C21"/>
    <mergeCell ref="B9:C9"/>
    <mergeCell ref="A4:C4"/>
    <mergeCell ref="B8:C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G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8" customWidth="1" min="3" max="3"/>
    <col width="12" customWidth="1" min="4" max="4"/>
    <col width="14" customWidth="1" min="5" max="5"/>
    <col width="16" customWidth="1" min="6" max="6"/>
    <col width="22" customWidth="1" min="7" max="7"/>
  </cols>
  <sheetData>
    <row r="1" ht="38" customHeight="1">
      <c r="A1" s="16" t="inlineStr">
        <is>
          <t>🎓 CONGRESO ELECTRÓNICO 2026 — PRESUPUESTO DE GASTOS</t>
        </is>
      </c>
    </row>
    <row r="2" ht="22" customHeight="1">
      <c r="A2" s="2" t="inlineStr">
        <is>
          <t>IEEE RAS UdeC  ·  Centro de Estudiantes Ing. Civil Electrónica  ·  Universidad de Concepción  ·  11–13 noviembre 2026</t>
        </is>
      </c>
    </row>
    <row r="3" ht="30" customHeight="1">
      <c r="A3" s="17" t="inlineStr">
        <is>
          <t>#</t>
        </is>
      </c>
      <c r="B3" s="17" t="inlineStr">
        <is>
          <t>Categoría / Ítem de Gasto</t>
        </is>
      </c>
      <c r="C3" s="17" t="inlineStr">
        <is>
          <t>Descripción / Detalle</t>
        </is>
      </c>
      <c r="D3" s="17" t="inlineStr">
        <is>
          <t>Cantidad</t>
        </is>
      </c>
      <c r="E3" s="17" t="inlineStr">
        <is>
          <t>Costo Unitario (CLP)</t>
        </is>
      </c>
      <c r="F3" s="17" t="inlineStr">
        <is>
          <t>Total Ítem (CLP)</t>
        </is>
      </c>
      <c r="G3" s="17" t="inlineStr">
        <is>
          <t>Notas</t>
        </is>
      </c>
    </row>
    <row r="4" ht="22" customHeight="1">
      <c r="A4" s="18" t="inlineStr">
        <is>
          <t xml:space="preserve">  CATERING Y ALIMENTACIÓN</t>
        </is>
      </c>
    </row>
    <row r="5" ht="20" customHeight="1">
      <c r="A5" s="19" t="n">
        <v>1</v>
      </c>
      <c r="B5" s="20" t="inlineStr">
        <is>
          <t>Coffee Break (días 1 y 2)</t>
        </is>
      </c>
      <c r="C5" s="21" t="inlineStr">
        <is>
          <t>Café, jugos, galletas, frutas — 2 coffee breaks/día × 2 días = 4 breaks</t>
        </is>
      </c>
      <c r="D5" s="22" t="n">
        <v>120</v>
      </c>
      <c r="E5" s="23" t="n">
        <v>2500</v>
      </c>
      <c r="F5" s="24">
        <f>D5*E5</f>
        <v/>
      </c>
      <c r="G5" s="25" t="inlineStr">
        <is>
          <t>Estimado por persona, 120 asistentes promedio</t>
        </is>
      </c>
    </row>
    <row r="6" ht="20" customHeight="1">
      <c r="A6" s="26" t="n">
        <v>2</v>
      </c>
      <c r="B6" s="27" t="inlineStr">
        <is>
          <t>Coffee Break (día 3 — cierre)</t>
        </is>
      </c>
      <c r="C6" s="28" t="inlineStr">
        <is>
          <t>Break especial día de clausura</t>
        </is>
      </c>
      <c r="D6" s="22" t="n">
        <v>120</v>
      </c>
      <c r="E6" s="23" t="n">
        <v>3000</v>
      </c>
      <c r="F6" s="29">
        <f>D6*E6</f>
        <v/>
      </c>
      <c r="G6" s="30" t="inlineStr">
        <is>
          <t>Puede incluir algo más elaborado para el cierre</t>
        </is>
      </c>
    </row>
    <row r="7" ht="20" customHeight="1">
      <c r="A7" s="19" t="n">
        <v>3</v>
      </c>
      <c r="B7" s="20" t="inlineStr">
        <is>
          <t>Almuerzo asistentes (días 2 y 3)</t>
        </is>
      </c>
      <c r="C7" s="21" t="inlineStr">
        <is>
          <t>Colación o voucher de almuerzo — 2 jornadas completas</t>
        </is>
      </c>
      <c r="D7" s="22" t="n">
        <v>120</v>
      </c>
      <c r="E7" s="23" t="n">
        <v>4500</v>
      </c>
      <c r="F7" s="24">
        <f>D7*E7</f>
        <v/>
      </c>
      <c r="G7" s="25" t="inlineStr">
        <is>
          <t>Cotizar casino UdeC u opción externa</t>
        </is>
      </c>
    </row>
    <row r="8" ht="20" customHeight="1">
      <c r="A8" s="26" t="n">
        <v>4</v>
      </c>
      <c r="B8" s="27" t="inlineStr">
        <is>
          <t>Catering ponentes / organizadores</t>
        </is>
      </c>
      <c r="C8" s="28" t="inlineStr">
        <is>
          <t>Almuerzo diferenciado para expositores, talleristas y comité</t>
        </is>
      </c>
      <c r="D8" s="22" t="n">
        <v>20</v>
      </c>
      <c r="E8" s="23" t="n">
        <v>8000</v>
      </c>
      <c r="F8" s="29">
        <f>D8*E8</f>
        <v/>
      </c>
      <c r="G8" s="30" t="inlineStr">
        <is>
          <t>~15 ponentes + 5 organizadores</t>
        </is>
      </c>
    </row>
    <row r="9" ht="20" customHeight="1">
      <c r="A9" s="19" t="n">
        <v>5</v>
      </c>
      <c r="B9" s="20" t="inlineStr">
        <is>
          <t>Celebración de cierre</t>
        </is>
      </c>
      <c r="C9" s="21" t="inlineStr">
        <is>
          <t>Bebidas, snacks y bocados para la actividad recreativa final</t>
        </is>
      </c>
      <c r="D9" s="22" t="n">
        <v>100</v>
      </c>
      <c r="E9" s="23" t="n">
        <v>3500</v>
      </c>
      <c r="F9" s="24">
        <f>D9*E9</f>
        <v/>
      </c>
      <c r="G9" s="25" t="inlineStr">
        <is>
          <t>Estimado 100 personas en el cierre</t>
        </is>
      </c>
    </row>
    <row r="10" ht="22" customHeight="1">
      <c r="A10" s="18" t="inlineStr">
        <is>
          <t xml:space="preserve">  IMPRESIÓN Y MATERIALES</t>
        </is>
      </c>
    </row>
    <row r="11" ht="20" customHeight="1">
      <c r="A11" s="19" t="n">
        <v>6</v>
      </c>
      <c r="B11" s="20" t="inlineStr">
        <is>
          <t>Pendones auspiciadores — Platino (XL)</t>
        </is>
      </c>
      <c r="C11" s="21" t="inlineStr">
        <is>
          <t>Pendón 80×200 cm con logo destacado, uno por auspiciador Platino</t>
        </is>
      </c>
      <c r="D11" s="22" t="n">
        <v>3</v>
      </c>
      <c r="E11" s="23" t="n">
        <v>35000</v>
      </c>
      <c r="F11" s="24">
        <f>D11*E11</f>
        <v/>
      </c>
      <c r="G11" s="25" t="inlineStr">
        <is>
          <t>Cotizar imprenta local — pedido mínimo 3</t>
        </is>
      </c>
    </row>
    <row r="12" ht="20" customHeight="1">
      <c r="A12" s="26" t="n">
        <v>7</v>
      </c>
      <c r="B12" s="27" t="inlineStr">
        <is>
          <t>Pendones auspiciadores — Oro</t>
        </is>
      </c>
      <c r="C12" s="28" t="inlineStr">
        <is>
          <t>Pendón 60×160 cm, uno por auspiciador Oro</t>
        </is>
      </c>
      <c r="D12" s="22" t="n">
        <v>2</v>
      </c>
      <c r="E12" s="23" t="n">
        <v>28000</v>
      </c>
      <c r="F12" s="29">
        <f>D12*E12</f>
        <v/>
      </c>
      <c r="G12" s="30" t="inlineStr"/>
    </row>
    <row r="13" ht="20" customHeight="1">
      <c r="A13" s="19" t="n">
        <v>8</v>
      </c>
      <c r="B13" s="20" t="inlineStr">
        <is>
          <t>Pendones auspiciadores — Plata</t>
        </is>
      </c>
      <c r="C13" s="21" t="inlineStr">
        <is>
          <t>Pendón 60×160 cm, uno por auspiciador Plata</t>
        </is>
      </c>
      <c r="D13" s="22" t="n">
        <v>1</v>
      </c>
      <c r="E13" s="23" t="n">
        <v>28000</v>
      </c>
      <c r="F13" s="24">
        <f>D13*E13</f>
        <v/>
      </c>
      <c r="G13" s="25" t="inlineStr"/>
    </row>
    <row r="14" ht="20" customHeight="1">
      <c r="A14" s="26" t="n">
        <v>9</v>
      </c>
      <c r="B14" s="27" t="inlineStr">
        <is>
          <t>Pendones institucionales (IEEE/UdeC)</t>
        </is>
      </c>
      <c r="C14" s="28" t="inlineStr">
        <is>
          <t>Pendones generales del evento y co-organizadores</t>
        </is>
      </c>
      <c r="D14" s="22" t="n">
        <v>4</v>
      </c>
      <c r="E14" s="23" t="n">
        <v>30000</v>
      </c>
      <c r="F14" s="29">
        <f>D14*E14</f>
        <v/>
      </c>
      <c r="G14" s="30" t="inlineStr">
        <is>
          <t>IEEE RAS, CEICE, UdeC, Congreso</t>
        </is>
      </c>
    </row>
    <row r="15" ht="20" customHeight="1">
      <c r="A15" s="19" t="n">
        <v>10</v>
      </c>
      <c r="B15" s="20" t="inlineStr">
        <is>
          <t>Credenciales / fotochecks</t>
        </is>
      </c>
      <c r="C15" s="21" t="inlineStr">
        <is>
          <t>Impresión + porta-credencial. Roles: asistente, expositor, org., voluntario</t>
        </is>
      </c>
      <c r="D15" s="22" t="n">
        <v>200</v>
      </c>
      <c r="E15" s="23" t="n">
        <v>800</v>
      </c>
      <c r="F15" s="24">
        <f>D15*E15</f>
        <v/>
      </c>
      <c r="G15" s="25" t="inlineStr"/>
    </row>
    <row r="16" ht="20" customHeight="1">
      <c r="A16" s="26" t="n">
        <v>11</v>
      </c>
      <c r="B16" s="27" t="inlineStr">
        <is>
          <t>Señalética del evento</t>
        </is>
      </c>
      <c r="C16" s="28" t="inlineStr">
        <is>
          <t>Indicadores de salas, stands numerados, zonas de coffee break</t>
        </is>
      </c>
      <c r="D16" s="22" t="n">
        <v>30</v>
      </c>
      <c r="E16" s="23" t="n">
        <v>2500</v>
      </c>
      <c r="F16" s="29">
        <f>D16*E16</f>
        <v/>
      </c>
      <c r="G16" s="30" t="inlineStr">
        <is>
          <t>Incluir flechas y carteles de ubicación</t>
        </is>
      </c>
    </row>
    <row r="17" ht="20" customHeight="1">
      <c r="A17" s="19" t="n">
        <v>12</v>
      </c>
      <c r="B17" s="20" t="inlineStr">
        <is>
          <t>Carpetas / kits para asistentes</t>
        </is>
      </c>
      <c r="C17" s="21" t="inlineStr">
        <is>
          <t>Folder con material informativo, programa y bloc de notas</t>
        </is>
      </c>
      <c r="D17" s="22" t="n">
        <v>150</v>
      </c>
      <c r="E17" s="23" t="n">
        <v>2200</v>
      </c>
      <c r="F17" s="24">
        <f>D17*E17</f>
        <v/>
      </c>
      <c r="G17" s="25" t="inlineStr"/>
    </row>
    <row r="18" ht="20" customHeight="1">
      <c r="A18" s="26" t="n">
        <v>13</v>
      </c>
      <c r="B18" s="27" t="inlineStr">
        <is>
          <t>Flyers y material de difusión (físico)</t>
        </is>
      </c>
      <c r="C18" s="28" t="inlineStr">
        <is>
          <t>Afiches para campus UdeC y otras universidades</t>
        </is>
      </c>
      <c r="D18" s="22" t="n">
        <v>100</v>
      </c>
      <c r="E18" s="23" t="n">
        <v>600</v>
      </c>
      <c r="F18" s="29">
        <f>D18*E18</f>
        <v/>
      </c>
      <c r="G18" s="30" t="inlineStr">
        <is>
          <t>Impresión A3 color</t>
        </is>
      </c>
    </row>
    <row r="19" ht="20" customHeight="1">
      <c r="A19" s="19" t="n">
        <v>14</v>
      </c>
      <c r="B19" s="20" t="inlineStr">
        <is>
          <t>Diplomas — ponentes y talleristas</t>
        </is>
      </c>
      <c r="C19" s="21" t="inlineStr">
        <is>
          <t>Diploma impreso, firmado y enmarcado (opcional)</t>
        </is>
      </c>
      <c r="D19" s="22" t="n">
        <v>35</v>
      </c>
      <c r="E19" s="23" t="n">
        <v>1800</v>
      </c>
      <c r="F19" s="24">
        <f>D19*E19</f>
        <v/>
      </c>
      <c r="G19" s="25" t="inlineStr">
        <is>
          <t>~20 ponentes + 15 talleristas</t>
        </is>
      </c>
    </row>
    <row r="20" ht="20" customHeight="1">
      <c r="A20" s="26" t="n">
        <v>15</v>
      </c>
      <c r="B20" s="27" t="inlineStr">
        <is>
          <t>Diplomas — voluntarios</t>
        </is>
      </c>
      <c r="C20" s="28" t="inlineStr">
        <is>
          <t>Diploma oficial acreditación curricular para voluntarios</t>
        </is>
      </c>
      <c r="D20" s="22" t="n">
        <v>25</v>
      </c>
      <c r="E20" s="23" t="n">
        <v>1200</v>
      </c>
      <c r="F20" s="29">
        <f>D20*E20</f>
        <v/>
      </c>
      <c r="G20" s="30" t="inlineStr"/>
    </row>
    <row r="21" ht="22" customHeight="1">
      <c r="A21" s="18" t="inlineStr">
        <is>
          <t xml:space="preserve">  MERCHANDISING</t>
        </is>
      </c>
    </row>
    <row r="22" ht="20" customHeight="1">
      <c r="A22" s="26" t="n">
        <v>16</v>
      </c>
      <c r="B22" s="27" t="inlineStr">
        <is>
          <t>Poleras equipo organizador</t>
        </is>
      </c>
      <c r="C22" s="28" t="inlineStr">
        <is>
          <t>Polera oficial del congreso para comité y voluntarios</t>
        </is>
      </c>
      <c r="D22" s="22" t="n">
        <v>30</v>
      </c>
      <c r="E22" s="23" t="n">
        <v>8500</v>
      </c>
      <c r="F22" s="29">
        <f>D22*E22</f>
        <v/>
      </c>
      <c r="G22" s="30" t="inlineStr">
        <is>
          <t>Cotizar desde 20 unidades para precio especial</t>
        </is>
      </c>
    </row>
    <row r="23" ht="20" customHeight="1">
      <c r="A23" s="19" t="n">
        <v>17</v>
      </c>
      <c r="B23" s="20" t="inlineStr">
        <is>
          <t>Stickers / pins del evento</t>
        </is>
      </c>
      <c r="C23" s="21" t="inlineStr">
        <is>
          <t>Stickers con logo del congreso para asistentes</t>
        </is>
      </c>
      <c r="D23" s="22" t="n">
        <v>300</v>
      </c>
      <c r="E23" s="23" t="n">
        <v>300</v>
      </c>
      <c r="F23" s="24">
        <f>D23*E23</f>
        <v/>
      </c>
      <c r="G23" s="25" t="inlineStr"/>
    </row>
    <row r="24" ht="20" customHeight="1">
      <c r="A24" s="26" t="n">
        <v>18</v>
      </c>
      <c r="B24" s="27" t="inlineStr">
        <is>
          <t>Libretas / lápices (kit asistente)</t>
        </is>
      </c>
      <c r="C24" s="28" t="inlineStr">
        <is>
          <t>Material de trabajo para asistentes — incluible en carpeta</t>
        </is>
      </c>
      <c r="D24" s="22" t="n">
        <v>150</v>
      </c>
      <c r="E24" s="23" t="n">
        <v>1500</v>
      </c>
      <c r="F24" s="29">
        <f>D24*E24</f>
        <v/>
      </c>
      <c r="G24" s="30" t="inlineStr"/>
    </row>
    <row r="25" ht="22" customHeight="1">
      <c r="A25" s="18" t="inlineStr">
        <is>
          <t xml:space="preserve">  PRODUCCIÓN AUDIOVISUAL</t>
        </is>
      </c>
    </row>
    <row r="26" ht="20" customHeight="1">
      <c r="A26" s="26" t="n">
        <v>19</v>
      </c>
      <c r="B26" s="27" t="inlineStr">
        <is>
          <t>Arriendo sistema de sonido (si falta)</t>
        </is>
      </c>
      <c r="C26" s="28" t="inlineStr">
        <is>
          <t>Micrófono inalámbrico extra, parlantes. Verificar equipo UdeC primero</t>
        </is>
      </c>
      <c r="D26" s="22" t="n">
        <v>1</v>
      </c>
      <c r="E26" s="23" t="n">
        <v>80000</v>
      </c>
      <c r="F26" s="29">
        <f>D26*E26</f>
        <v/>
      </c>
      <c r="G26" s="30" t="inlineStr">
        <is>
          <t>Solo si el auditorio UdeC no lo provee</t>
        </is>
      </c>
    </row>
    <row r="27" ht="20" customHeight="1">
      <c r="A27" s="19" t="n">
        <v>20</v>
      </c>
      <c r="B27" s="20" t="inlineStr">
        <is>
          <t>Arriendo proyector extra (salas paralelas)</t>
        </is>
      </c>
      <c r="C27" s="21" t="inlineStr">
        <is>
          <t>Proyector para salas de talleres</t>
        </is>
      </c>
      <c r="D27" s="22" t="n">
        <v>2</v>
      </c>
      <c r="E27" s="23" t="n">
        <v>40000</v>
      </c>
      <c r="F27" s="24">
        <f>D27*E27</f>
        <v/>
      </c>
      <c r="G27" s="25" t="inlineStr">
        <is>
          <t>Salas paralelas pueden no tener proyector</t>
        </is>
      </c>
    </row>
    <row r="28" ht="20" customHeight="1">
      <c r="A28" s="26" t="n">
        <v>21</v>
      </c>
      <c r="B28" s="27" t="inlineStr">
        <is>
          <t>Fotografía profesional (días 2 y 3)</t>
        </is>
      </c>
      <c r="C28" s="28" t="inlineStr">
        <is>
          <t>Fotógrafo para cobertura de las jornadas principales</t>
        </is>
      </c>
      <c r="D28" s="22" t="n">
        <v>2</v>
      </c>
      <c r="E28" s="23" t="n">
        <v>60000</v>
      </c>
      <c r="F28" s="29">
        <f>D28*E28</f>
        <v/>
      </c>
      <c r="G28" s="30" t="inlineStr">
        <is>
          <t>Por jornada. Considerar estudiante de periodismo</t>
        </is>
      </c>
    </row>
    <row r="29" ht="20" customHeight="1">
      <c r="A29" s="19" t="n">
        <v>22</v>
      </c>
      <c r="B29" s="20" t="inlineStr">
        <is>
          <t>Transmisión / streaming (opcional)</t>
        </is>
      </c>
      <c r="C29" s="21" t="inlineStr">
        <is>
          <t>Cámara + software para transmitir algunas charlas en vivo</t>
        </is>
      </c>
      <c r="D29" s="22" t="n">
        <v>1</v>
      </c>
      <c r="E29" s="23" t="n">
        <v>50000</v>
      </c>
      <c r="F29" s="24">
        <f>D29*E29</f>
        <v/>
      </c>
      <c r="G29" s="25" t="inlineStr">
        <is>
          <t>Opcional según presupuesto disponible</t>
        </is>
      </c>
    </row>
    <row r="30" ht="20" customHeight="1">
      <c r="A30" s="26" t="n">
        <v>23</v>
      </c>
      <c r="B30" s="27" t="inlineStr">
        <is>
          <t>Iluminación extra (escenario/auditorio)</t>
        </is>
      </c>
      <c r="C30" s="28" t="inlineStr">
        <is>
          <t>Luces de escenario para charlas plenarias</t>
        </is>
      </c>
      <c r="D30" s="22" t="n">
        <v>1</v>
      </c>
      <c r="E30" s="23" t="n">
        <v>30000</v>
      </c>
      <c r="F30" s="29">
        <f>D30*E30</f>
        <v/>
      </c>
      <c r="G30" s="30" t="inlineStr">
        <is>
          <t>Cotizar con proveedores AV</t>
        </is>
      </c>
    </row>
    <row r="31" ht="22" customHeight="1">
      <c r="A31" s="18" t="inlineStr">
        <is>
          <t xml:space="preserve">  PLATAFORMA Y COMISIONES</t>
        </is>
      </c>
    </row>
    <row r="32" ht="20" customHeight="1">
      <c r="A32" s="26" t="n">
        <v>24</v>
      </c>
      <c r="B32" s="27" t="inlineStr">
        <is>
          <t>Comisión plataforma de tickets (PassLine/otro)</t>
        </is>
      </c>
      <c r="C32" s="28" t="inlineStr">
        <is>
          <t>Comisión promedio ~5-8% sobre ventas brutas de entradas</t>
        </is>
      </c>
      <c r="D32" s="22" t="n">
        <v>1</v>
      </c>
      <c r="E32" s="23" t="n">
        <v>80000</v>
      </c>
      <c r="F32" s="29">
        <f>D32*E32</f>
        <v/>
      </c>
      <c r="G32" s="30" t="inlineStr">
        <is>
          <t>Ajustar según proyección de ventas en hoja Entradas</t>
        </is>
      </c>
    </row>
    <row r="33" ht="20" customHeight="1">
      <c r="A33" s="19" t="n">
        <v>25</v>
      </c>
      <c r="B33" s="20" t="inlineStr">
        <is>
          <t>Punto de venta físico (lector de tarjeta)</t>
        </is>
      </c>
      <c r="C33" s="21" t="inlineStr">
        <is>
          <t>Arriendo o comisión por terminal de pago para venta en puerta</t>
        </is>
      </c>
      <c r="D33" s="22" t="n">
        <v>1</v>
      </c>
      <c r="E33" s="23" t="n">
        <v>15000</v>
      </c>
      <c r="F33" s="24">
        <f>D33*E33</f>
        <v/>
      </c>
      <c r="G33" s="25" t="inlineStr"/>
    </row>
    <row r="34" ht="22" customHeight="1">
      <c r="A34" s="18" t="inlineStr">
        <is>
          <t xml:space="preserve">  MATERIALES PARA TALLERES</t>
        </is>
      </c>
    </row>
    <row r="35" ht="20" customHeight="1">
      <c r="A35" s="19" t="n">
        <v>26</v>
      </c>
      <c r="B35" s="20" t="inlineStr">
        <is>
          <t>Materiales taller de soldadura</t>
        </is>
      </c>
      <c r="C35" s="21" t="inlineStr">
        <is>
          <t>Soldadores, estaño, placas PCB, componentes</t>
        </is>
      </c>
      <c r="D35" s="22" t="n">
        <v>20</v>
      </c>
      <c r="E35" s="23" t="n">
        <v>3500</v>
      </c>
      <c r="F35" s="24">
        <f>D35*E35</f>
        <v/>
      </c>
      <c r="G35" s="25" t="inlineStr">
        <is>
          <t>Por participante — taller de ~20 personas</t>
        </is>
      </c>
    </row>
    <row r="36" ht="20" customHeight="1">
      <c r="A36" s="26" t="n">
        <v>27</v>
      </c>
      <c r="B36" s="27" t="inlineStr">
        <is>
          <t>Materiales taller PCB</t>
        </is>
      </c>
      <c r="C36" s="28" t="inlineStr">
        <is>
          <t>Software (licencias o acceso), placas prototipo, insumos</t>
        </is>
      </c>
      <c r="D36" s="22" t="n">
        <v>20</v>
      </c>
      <c r="E36" s="23" t="n">
        <v>2000</v>
      </c>
      <c r="F36" s="29">
        <f>D36*E36</f>
        <v/>
      </c>
      <c r="G36" s="30" t="inlineStr"/>
    </row>
    <row r="37" ht="20" customHeight="1">
      <c r="A37" s="19" t="n">
        <v>28</v>
      </c>
      <c r="B37" s="20" t="inlineStr">
        <is>
          <t>Materiales taller instrumento electrónico</t>
        </is>
      </c>
      <c r="C37" s="21" t="inlineStr">
        <is>
          <t>Componentes específicos del instrumento por participante</t>
        </is>
      </c>
      <c r="D37" s="22" t="n">
        <v>20</v>
      </c>
      <c r="E37" s="23" t="n">
        <v>4000</v>
      </c>
      <c r="F37" s="24">
        <f>D37*E37</f>
        <v/>
      </c>
      <c r="G37" s="25" t="inlineStr">
        <is>
          <t>Definir según tallerista confirmado</t>
        </is>
      </c>
    </row>
    <row r="38" ht="20" customHeight="1">
      <c r="A38" s="26" t="n">
        <v>29</v>
      </c>
      <c r="B38" s="27" t="inlineStr">
        <is>
          <t>Materiales talleres software (C, Matlab, LaTeX)</t>
        </is>
      </c>
      <c r="C38" s="28" t="inlineStr">
        <is>
          <t>Acceso a PC o salas de computación — costo de uso</t>
        </is>
      </c>
      <c r="D38" s="22" t="n">
        <v>1</v>
      </c>
      <c r="E38" s="23" t="n">
        <v>20000</v>
      </c>
      <c r="F38" s="29">
        <f>D38*E38</f>
        <v/>
      </c>
      <c r="G38" s="30" t="inlineStr">
        <is>
          <t>Gestionar sala computación UdeC (puede ser $0)</t>
        </is>
      </c>
    </row>
    <row r="39" ht="22" customHeight="1">
      <c r="A39" s="18" t="inlineStr">
        <is>
          <t xml:space="preserve">  MARKETING Y DISEÑO DIGITAL</t>
        </is>
      </c>
    </row>
    <row r="40" ht="20" customHeight="1">
      <c r="A40" s="26" t="n">
        <v>30</v>
      </c>
      <c r="B40" s="27" t="inlineStr">
        <is>
          <t>Diseño gráfico (externo, si aplica)</t>
        </is>
      </c>
      <c r="C40" s="28" t="inlineStr">
        <is>
          <t>Apoyo profesional para identidad visual si no lo hace el equipo</t>
        </is>
      </c>
      <c r="D40" s="22" t="n">
        <v>1</v>
      </c>
      <c r="E40" s="23" t="n">
        <v>120000</v>
      </c>
      <c r="F40" s="29">
        <f>D40*E40</f>
        <v/>
      </c>
      <c r="G40" s="30" t="inlineStr">
        <is>
          <t>Puede ser $0 si lo hace equipo interno</t>
        </is>
      </c>
    </row>
    <row r="41" ht="20" customHeight="1">
      <c r="A41" s="19" t="n">
        <v>31</v>
      </c>
      <c r="B41" s="20" t="inlineStr">
        <is>
          <t>Pauta en redes sociales (ads Instagram/LinkedIn)</t>
        </is>
      </c>
      <c r="C41" s="21" t="inlineStr">
        <is>
          <t>Publicidad pagada para alcanzar más público</t>
        </is>
      </c>
      <c r="D41" s="22" t="n">
        <v>1</v>
      </c>
      <c r="E41" s="23" t="n">
        <v>50000</v>
      </c>
      <c r="F41" s="24">
        <f>D41*E41</f>
        <v/>
      </c>
      <c r="G41" s="25" t="inlineStr">
        <is>
          <t>Recomendado para masificar convocatoria</t>
        </is>
      </c>
    </row>
    <row r="42" ht="20" customHeight="1">
      <c r="A42" s="26" t="n">
        <v>32</v>
      </c>
      <c r="B42" s="27" t="inlineStr">
        <is>
          <t>Dominio web + hosting (si aplica)</t>
        </is>
      </c>
      <c r="C42" s="28" t="inlineStr">
        <is>
          <t>Sitio web del congreso (opcional)</t>
        </is>
      </c>
      <c r="D42" s="22" t="n">
        <v>1</v>
      </c>
      <c r="E42" s="23" t="n">
        <v>25000</v>
      </c>
      <c r="F42" s="29">
        <f>D42*E42</f>
        <v/>
      </c>
      <c r="G42" s="30" t="inlineStr">
        <is>
          <t>Alternativa gratuita: Linktree o perfil IG</t>
        </is>
      </c>
    </row>
    <row r="43" ht="22" customHeight="1">
      <c r="A43" s="18" t="inlineStr">
        <is>
          <t xml:space="preserve">  LOGÍSTICA GENERAL</t>
        </is>
      </c>
    </row>
    <row r="44" ht="20" customHeight="1">
      <c r="A44" s="26" t="n">
        <v>33</v>
      </c>
      <c r="B44" s="27" t="inlineStr">
        <is>
          <t>Transporte ponentes externos (desde otras ciudades)</t>
        </is>
      </c>
      <c r="C44" s="28" t="inlineStr">
        <is>
          <t>Pasajes + viáticos para expositores de otras regiones</t>
        </is>
      </c>
      <c r="D44" s="22" t="n">
        <v>3</v>
      </c>
      <c r="E44" s="23" t="n">
        <v>60000</v>
      </c>
      <c r="F44" s="29">
        <f>D44*E44</f>
        <v/>
      </c>
      <c r="G44" s="30" t="inlineStr">
        <is>
          <t>Estimado 3 ponentes externos</t>
        </is>
      </c>
    </row>
    <row r="45" ht="20" customHeight="1">
      <c r="A45" s="19" t="n">
        <v>34</v>
      </c>
      <c r="B45" s="20" t="inlineStr">
        <is>
          <t>Alojamiento ponentes externos (si aplica)</t>
        </is>
      </c>
      <c r="C45" s="21" t="inlineStr">
        <is>
          <t>1 noche hotel para ponente de fuera de Concepción</t>
        </is>
      </c>
      <c r="D45" s="22" t="n">
        <v>2</v>
      </c>
      <c r="E45" s="23" t="n">
        <v>65000</v>
      </c>
      <c r="F45" s="24">
        <f>D45*E45</f>
        <v/>
      </c>
      <c r="G45" s="25" t="inlineStr">
        <is>
          <t>Negociar con ponentes — muchos pueden no requerirlo</t>
        </is>
      </c>
    </row>
    <row r="46" ht="20" customHeight="1">
      <c r="A46" s="26" t="n">
        <v>35</v>
      </c>
      <c r="B46" s="27" t="inlineStr">
        <is>
          <t>Gastos administrativos (copias, estampillas, etc.)</t>
        </is>
      </c>
      <c r="C46" s="28" t="inlineStr">
        <is>
          <t>Trámites, documentos, convenios, sobres</t>
        </is>
      </c>
      <c r="D46" s="22" t="n">
        <v>1</v>
      </c>
      <c r="E46" s="23" t="n">
        <v>20000</v>
      </c>
      <c r="F46" s="29">
        <f>D46*E46</f>
        <v/>
      </c>
      <c r="G46" s="30" t="inlineStr"/>
    </row>
    <row r="47" ht="20" customHeight="1">
      <c r="A47" s="19" t="n">
        <v>36</v>
      </c>
      <c r="B47" s="20" t="inlineStr">
        <is>
          <t>Imprevistos y contingencia (10%)</t>
        </is>
      </c>
      <c r="C47" s="21" t="inlineStr">
        <is>
          <t>Reserva para gastos no contemplados</t>
        </is>
      </c>
      <c r="D47" s="31" t="n">
        <v>1</v>
      </c>
      <c r="E47" s="29">
        <f>(F5+F6+F7+F8+F9+F11+F12+F13+F14+F15+F16+F17+F18+F19+F20+F22+F23+F24+F26+F27+F28+F29+F30+F32+F33+F35+F36+F37+F38+F40+F41+F42+F44+F45+F46)*0.10</f>
        <v/>
      </c>
      <c r="F47" s="24">
        <f>D47*E47</f>
        <v/>
      </c>
      <c r="G47" s="25" t="inlineStr">
        <is>
          <t>⚠️ Este valor se calcula automáticamente abajo</t>
        </is>
      </c>
    </row>
    <row r="48" ht="26" customHeight="1">
      <c r="A48" s="32" t="inlineStr">
        <is>
          <t>TOTAL PRESUPUESTO DE GASTOS</t>
        </is>
      </c>
      <c r="F48" s="33">
        <f>SUM(F4:F47)</f>
        <v/>
      </c>
      <c r="G48" s="34" t="n"/>
    </row>
    <row r="50">
      <c r="B50" s="35" t="inlineStr">
        <is>
          <t>🔵 Celda azul = valor editable (ingresa aquí tus datos)</t>
        </is>
      </c>
      <c r="E50" s="36" t="inlineStr">
        <is>
          <t>⚫ Celda negra = fórmula automática (no editar)</t>
        </is>
      </c>
    </row>
    <row r="51">
      <c r="B51" s="37" t="inlineStr">
        <is>
          <t>⚠️  La Contingencia (10%) se calcula automáticamente sobre el subtotal sin contingencia. Los gastos en 0 son opcionales.</t>
        </is>
      </c>
    </row>
  </sheetData>
  <mergeCells count="14">
    <mergeCell ref="B51:G51"/>
    <mergeCell ref="A1:G1"/>
    <mergeCell ref="A48:E48"/>
    <mergeCell ref="A31:G31"/>
    <mergeCell ref="A21:G21"/>
    <mergeCell ref="A39:G39"/>
    <mergeCell ref="A34:G34"/>
    <mergeCell ref="B50:D50"/>
    <mergeCell ref="A4:G4"/>
    <mergeCell ref="A2:G2"/>
    <mergeCell ref="E50:G50"/>
    <mergeCell ref="A25:G25"/>
    <mergeCell ref="A43:G43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017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6" customWidth="1" min="4" max="4"/>
    <col width="16" customWidth="1" min="5" max="5"/>
    <col width="22" customWidth="1" min="6" max="6"/>
    <col width="18" customWidth="1" min="7" max="7"/>
    <col width="20" customWidth="1" min="8" max="8"/>
  </cols>
  <sheetData>
    <row r="1" ht="38" customHeight="1">
      <c r="A1" s="16" t="inlineStr">
        <is>
          <t>🤝 REGISTRO DE AUSPICIADORES — CONGRESO ELECTRÓNICO 2026</t>
        </is>
      </c>
    </row>
    <row r="2" ht="22" customHeight="1">
      <c r="A2" s="2" t="inlineStr">
        <is>
          <t>Agrega cada auspiciador y su monto — el Resumen se actualiza automáticamente</t>
        </is>
      </c>
    </row>
    <row r="3" ht="38" customHeight="1">
      <c r="A3" s="38" t="inlineStr">
        <is>
          <t>Categorías de auspicio:    🥇 Platino = $1.000.000    🥈 Oro = $800.000    🥉 Plata = $600.000    🔵 Bronce = $400.000    🎁 Apoyo = Especie/Otro</t>
        </is>
      </c>
    </row>
    <row r="4" ht="28" customHeight="1">
      <c r="A4" s="39" t="inlineStr">
        <is>
          <t>#</t>
        </is>
      </c>
      <c r="B4" s="39" t="inlineStr">
        <is>
          <t>Empresa / Organización</t>
        </is>
      </c>
      <c r="C4" s="40" t="inlineStr">
        <is>
          <t>Categoría</t>
        </is>
      </c>
      <c r="D4" s="40" t="inlineStr">
        <is>
          <t>Monto Acordado (CLP)</t>
        </is>
      </c>
      <c r="E4" s="40" t="inlineStr">
        <is>
          <t>Monto Recibido (CLP)</t>
        </is>
      </c>
      <c r="F4" s="39" t="inlineStr">
        <is>
          <t>Beneficios comprometidos</t>
        </is>
      </c>
      <c r="G4" s="39" t="inlineStr">
        <is>
          <t>Estado</t>
        </is>
      </c>
      <c r="H4" s="39" t="inlineStr">
        <is>
          <t>Observaciones</t>
        </is>
      </c>
    </row>
    <row r="5" ht="20" customHeight="1">
      <c r="A5" s="19" t="n">
        <v>1</v>
      </c>
      <c r="B5" s="41" t="inlineStr">
        <is>
          <t>Empresa ABC Electrónica</t>
        </is>
      </c>
      <c r="C5" s="41" t="inlineStr">
        <is>
          <t>Platino</t>
        </is>
      </c>
      <c r="D5" s="23" t="n">
        <v>1000000</v>
      </c>
      <c r="E5" s="23" t="n">
        <v>1000000</v>
      </c>
      <c r="F5" s="41" t="inlineStr">
        <is>
          <t>Pendón XL, 3 pases VIP, charla técnica</t>
        </is>
      </c>
      <c r="G5" s="41" t="inlineStr">
        <is>
          <t>Recibido</t>
        </is>
      </c>
      <c r="H5" s="41" t="inlineStr">
        <is>
          <t>Pago completo recibido</t>
        </is>
      </c>
    </row>
    <row r="6" ht="20" customHeight="1">
      <c r="A6" s="26" t="n">
        <v>2</v>
      </c>
      <c r="B6" s="41" t="inlineStr">
        <is>
          <t>TechCorp Chile</t>
        </is>
      </c>
      <c r="C6" s="41" t="inlineStr">
        <is>
          <t>Oro</t>
        </is>
      </c>
      <c r="D6" s="23" t="n">
        <v>800000</v>
      </c>
      <c r="E6" s="23" t="n">
        <v>0</v>
      </c>
      <c r="F6" s="41" t="inlineStr">
        <is>
          <t>Pendón, 2 pases VIP, mención en redes</t>
        </is>
      </c>
      <c r="G6" s="41" t="inlineStr">
        <is>
          <t>Pendiente pago</t>
        </is>
      </c>
      <c r="H6" s="41" t="inlineStr">
        <is>
          <t>Firmó convenio el 15 may</t>
        </is>
      </c>
    </row>
    <row r="7" ht="20" customHeight="1">
      <c r="A7" s="19" t="n">
        <v>3</v>
      </c>
      <c r="B7" s="41" t="n"/>
      <c r="C7" s="41" t="n"/>
      <c r="D7" s="23" t="n"/>
      <c r="E7" s="23" t="n"/>
      <c r="F7" s="41" t="n"/>
      <c r="G7" s="41" t="n"/>
      <c r="H7" s="41" t="n"/>
    </row>
    <row r="8" ht="20" customHeight="1">
      <c r="A8" s="26" t="n">
        <v>4</v>
      </c>
      <c r="B8" s="41" t="n"/>
      <c r="C8" s="41" t="n"/>
      <c r="D8" s="23" t="n"/>
      <c r="E8" s="23" t="n"/>
      <c r="F8" s="41" t="n"/>
      <c r="G8" s="41" t="n"/>
      <c r="H8" s="41" t="n"/>
    </row>
    <row r="9" ht="20" customHeight="1">
      <c r="A9" s="19" t="n">
        <v>5</v>
      </c>
      <c r="B9" s="41" t="n"/>
      <c r="C9" s="41" t="n"/>
      <c r="D9" s="23" t="n"/>
      <c r="E9" s="23" t="n"/>
      <c r="F9" s="41" t="n"/>
      <c r="G9" s="41" t="n"/>
      <c r="H9" s="41" t="n"/>
    </row>
    <row r="10" ht="20" customHeight="1">
      <c r="A10" s="26" t="n">
        <v>6</v>
      </c>
      <c r="B10" s="41" t="n"/>
      <c r="C10" s="41" t="n"/>
      <c r="D10" s="23" t="n"/>
      <c r="E10" s="23" t="n"/>
      <c r="F10" s="41" t="n"/>
      <c r="G10" s="41" t="n"/>
      <c r="H10" s="41" t="n"/>
    </row>
    <row r="11" ht="20" customHeight="1">
      <c r="A11" s="19" t="n">
        <v>7</v>
      </c>
      <c r="B11" s="41" t="n"/>
      <c r="C11" s="41" t="n"/>
      <c r="D11" s="23" t="n"/>
      <c r="E11" s="23" t="n"/>
      <c r="F11" s="41" t="n"/>
      <c r="G11" s="41" t="n"/>
      <c r="H11" s="41" t="n"/>
    </row>
    <row r="12" ht="20" customHeight="1">
      <c r="A12" s="26" t="n">
        <v>8</v>
      </c>
      <c r="B12" s="41" t="n"/>
      <c r="C12" s="41" t="n"/>
      <c r="D12" s="23" t="n"/>
      <c r="E12" s="23" t="n"/>
      <c r="F12" s="41" t="n"/>
      <c r="G12" s="41" t="n"/>
      <c r="H12" s="41" t="n"/>
    </row>
    <row r="13" ht="20" customHeight="1">
      <c r="A13" s="19" t="n">
        <v>9</v>
      </c>
      <c r="B13" s="41" t="n"/>
      <c r="C13" s="41" t="n"/>
      <c r="D13" s="23" t="n"/>
      <c r="E13" s="23" t="n"/>
      <c r="F13" s="41" t="n"/>
      <c r="G13" s="41" t="n"/>
      <c r="H13" s="41" t="n"/>
    </row>
    <row r="14" ht="20" customHeight="1">
      <c r="A14" s="26" t="n">
        <v>10</v>
      </c>
      <c r="B14" s="41" t="n"/>
      <c r="C14" s="41" t="n"/>
      <c r="D14" s="23" t="n"/>
      <c r="E14" s="23" t="n"/>
      <c r="F14" s="41" t="n"/>
      <c r="G14" s="41" t="n"/>
      <c r="H14" s="41" t="n"/>
    </row>
    <row r="15" ht="20" customHeight="1">
      <c r="A15" s="19" t="n">
        <v>11</v>
      </c>
      <c r="B15" s="41" t="n"/>
      <c r="C15" s="41" t="n"/>
      <c r="D15" s="23" t="n"/>
      <c r="E15" s="23" t="n"/>
      <c r="F15" s="41" t="n"/>
      <c r="G15" s="41" t="n"/>
      <c r="H15" s="41" t="n"/>
    </row>
    <row r="16" ht="20" customHeight="1">
      <c r="A16" s="26" t="n">
        <v>12</v>
      </c>
      <c r="B16" s="41" t="n"/>
      <c r="C16" s="41" t="n"/>
      <c r="D16" s="23" t="n"/>
      <c r="E16" s="23" t="n"/>
      <c r="F16" s="41" t="n"/>
      <c r="G16" s="41" t="n"/>
      <c r="H16" s="41" t="n"/>
    </row>
    <row r="17" ht="20" customHeight="1">
      <c r="A17" s="19" t="n">
        <v>13</v>
      </c>
      <c r="B17" s="41" t="n"/>
      <c r="C17" s="41" t="n"/>
      <c r="D17" s="23" t="n"/>
      <c r="E17" s="23" t="n"/>
      <c r="F17" s="41" t="n"/>
      <c r="G17" s="41" t="n"/>
      <c r="H17" s="41" t="n"/>
    </row>
    <row r="18" ht="20" customHeight="1">
      <c r="A18" s="26" t="n">
        <v>14</v>
      </c>
      <c r="B18" s="41" t="n"/>
      <c r="C18" s="41" t="n"/>
      <c r="D18" s="23" t="n"/>
      <c r="E18" s="23" t="n"/>
      <c r="F18" s="41" t="n"/>
      <c r="G18" s="41" t="n"/>
      <c r="H18" s="41" t="n"/>
    </row>
    <row r="19" ht="20" customHeight="1">
      <c r="A19" s="19" t="n">
        <v>15</v>
      </c>
      <c r="B19" s="41" t="n"/>
      <c r="C19" s="41" t="n"/>
      <c r="D19" s="23" t="n"/>
      <c r="E19" s="23" t="n"/>
      <c r="F19" s="41" t="n"/>
      <c r="G19" s="41" t="n"/>
      <c r="H19" s="41" t="n"/>
    </row>
    <row r="20" ht="20" customHeight="1">
      <c r="A20" s="26" t="n">
        <v>16</v>
      </c>
      <c r="B20" s="41" t="n"/>
      <c r="C20" s="41" t="n"/>
      <c r="D20" s="23" t="n"/>
      <c r="E20" s="23" t="n"/>
      <c r="F20" s="41" t="n"/>
      <c r="G20" s="41" t="n"/>
      <c r="H20" s="41" t="n"/>
    </row>
    <row r="21" ht="20" customHeight="1">
      <c r="A21" s="19" t="n">
        <v>17</v>
      </c>
      <c r="B21" s="41" t="n"/>
      <c r="C21" s="41" t="n"/>
      <c r="D21" s="23" t="n"/>
      <c r="E21" s="23" t="n"/>
      <c r="F21" s="41" t="n"/>
      <c r="G21" s="41" t="n"/>
      <c r="H21" s="41" t="n"/>
    </row>
    <row r="22" ht="20" customHeight="1">
      <c r="A22" s="26" t="n">
        <v>18</v>
      </c>
      <c r="B22" s="41" t="n"/>
      <c r="C22" s="41" t="n"/>
      <c r="D22" s="23" t="n"/>
      <c r="E22" s="23" t="n"/>
      <c r="F22" s="41" t="n"/>
      <c r="G22" s="41" t="n"/>
      <c r="H22" s="41" t="n"/>
    </row>
    <row r="23" ht="20" customHeight="1">
      <c r="A23" s="19" t="n">
        <v>19</v>
      </c>
      <c r="B23" s="41" t="n"/>
      <c r="C23" s="41" t="n"/>
      <c r="D23" s="23" t="n"/>
      <c r="E23" s="23" t="n"/>
      <c r="F23" s="41" t="n"/>
      <c r="G23" s="41" t="n"/>
      <c r="H23" s="41" t="n"/>
    </row>
    <row r="24" ht="20" customHeight="1">
      <c r="A24" s="26" t="n">
        <v>20</v>
      </c>
      <c r="B24" s="41" t="n"/>
      <c r="C24" s="41" t="n"/>
      <c r="D24" s="23" t="n"/>
      <c r="E24" s="23" t="n"/>
      <c r="F24" s="41" t="n"/>
      <c r="G24" s="41" t="n"/>
      <c r="H24" s="41" t="n"/>
    </row>
    <row r="25" ht="26" customHeight="1">
      <c r="A25" s="32" t="inlineStr">
        <is>
          <t>TOTAL AUSPICIOS ACORDADOS / RECIBIDOS</t>
        </is>
      </c>
      <c r="D25" s="42">
        <f>SUM(D5:D24)</f>
        <v/>
      </c>
      <c r="E25" s="42">
        <f>SUM(E5:E24)</f>
        <v/>
      </c>
      <c r="F25" s="34" t="n"/>
      <c r="G25" s="34" t="n"/>
      <c r="H25" s="34" t="n"/>
    </row>
    <row r="27" ht="30" customHeight="1">
      <c r="A27" s="15" t="inlineStr">
        <is>
          <t>💡 Instrucciones: Ingresa el nombre de la empresa, selecciona la categoría, el monto acordado en convenio y el monto efectivamente recibido. Deja en 0 el monto recibido si aún no ha llegado el pago.</t>
        </is>
      </c>
    </row>
  </sheetData>
  <mergeCells count="5">
    <mergeCell ref="A25:C25"/>
    <mergeCell ref="A3:H3"/>
    <mergeCell ref="A2:H2"/>
    <mergeCell ref="A1:H1"/>
    <mergeCell ref="A27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7B6B"/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8" customWidth="1" min="8" max="8"/>
  </cols>
  <sheetData>
    <row r="1" ht="38" customHeight="1">
      <c r="A1" s="43" t="inlineStr">
        <is>
          <t>🎟️ PROYECCIÓN DE INGRESOS POR ENTRADAS — CONGRESO ELECTRÓNICO 2026</t>
        </is>
      </c>
    </row>
    <row r="2" ht="22" customHeight="1">
      <c r="A2" s="2" t="inlineStr">
        <is>
          <t>Modifica los precios y cantidades estimadas — el total se actualiza automáticamente</t>
        </is>
      </c>
    </row>
    <row r="3" ht="35" customHeight="1">
      <c r="A3" s="44" t="inlineStr">
        <is>
          <t>#</t>
        </is>
      </c>
      <c r="B3" s="44" t="inlineStr">
        <is>
          <t>Categoría de Asistente</t>
        </is>
      </c>
      <c r="C3" s="44" t="inlineStr">
        <is>
          <t>Precio P1
(CLP)</t>
        </is>
      </c>
      <c r="D3" s="44" t="inlineStr">
        <is>
          <t>Precio P2
(CLP)</t>
        </is>
      </c>
      <c r="E3" s="44" t="inlineStr">
        <is>
          <t>Precio P3
(CLP)</t>
        </is>
      </c>
      <c r="F3" s="44" t="inlineStr">
        <is>
          <t>Precio Puerta
(CLP)</t>
        </is>
      </c>
      <c r="G3" s="44" t="inlineStr">
        <is>
          <t>Asistentes
esperados</t>
        </is>
      </c>
      <c r="H3" s="44" t="inlineStr">
        <is>
          <t>Ingreso
Proyectado (CLP)</t>
        </is>
      </c>
    </row>
    <row r="4" ht="20" customHeight="1">
      <c r="A4" s="26" t="n">
        <v>1</v>
      </c>
      <c r="B4" s="45" t="inlineStr">
        <is>
          <t>Estudiante IEEE activo</t>
        </is>
      </c>
      <c r="C4" s="23" t="n">
        <v>7000</v>
      </c>
      <c r="D4" s="23" t="n">
        <v>9000</v>
      </c>
      <c r="E4" s="23" t="n">
        <v>12000</v>
      </c>
      <c r="F4" s="23" t="n">
        <v>15000</v>
      </c>
      <c r="G4" s="22" t="n">
        <v>30</v>
      </c>
      <c r="H4" s="46">
        <f>G4*(C4*0.30+D4*0.40+E4*0.20+F4*0.10)</f>
        <v/>
      </c>
    </row>
    <row r="5" ht="20" customHeight="1">
      <c r="A5" s="19" t="n">
        <v>2</v>
      </c>
      <c r="B5" s="47" t="inlineStr">
        <is>
          <t>Estudiante mechón UdeC (1er año)</t>
        </is>
      </c>
      <c r="C5" s="23" t="n">
        <v>8000</v>
      </c>
      <c r="D5" s="23" t="n">
        <v>10000</v>
      </c>
      <c r="E5" s="23" t="n">
        <v>13000</v>
      </c>
      <c r="F5" s="23" t="n">
        <v>16000</v>
      </c>
      <c r="G5" s="22" t="n">
        <v>20</v>
      </c>
      <c r="H5" s="46">
        <f>G5*(C5*0.30+D5*0.40+E5*0.20+F5*0.10)</f>
        <v/>
      </c>
    </row>
    <row r="6" ht="20" customHeight="1">
      <c r="A6" s="26" t="n">
        <v>3</v>
      </c>
      <c r="B6" s="45" t="inlineStr">
        <is>
          <t>Estudiante UdeC (sin membresía IEEE)</t>
        </is>
      </c>
      <c r="C6" s="23" t="n">
        <v>9000</v>
      </c>
      <c r="D6" s="23" t="n">
        <v>11000</v>
      </c>
      <c r="E6" s="23" t="n">
        <v>14000</v>
      </c>
      <c r="F6" s="23" t="n">
        <v>17000</v>
      </c>
      <c r="G6" s="22" t="n">
        <v>40</v>
      </c>
      <c r="H6" s="46">
        <f>G6*(C6*0.30+D6*0.40+E6*0.20+F6*0.10)</f>
        <v/>
      </c>
    </row>
    <row r="7" ht="20" customHeight="1">
      <c r="A7" s="19" t="n">
        <v>4</v>
      </c>
      <c r="B7" s="47" t="inlineStr">
        <is>
          <t>Estudiante otra universidad</t>
        </is>
      </c>
      <c r="C7" s="23" t="n">
        <v>10000</v>
      </c>
      <c r="D7" s="23" t="n">
        <v>12000</v>
      </c>
      <c r="E7" s="23" t="n">
        <v>15000</v>
      </c>
      <c r="F7" s="23" t="n">
        <v>18000</v>
      </c>
      <c r="G7" s="22" t="n">
        <v>20</v>
      </c>
      <c r="H7" s="46">
        <f>G7*(C7*0.30+D7*0.40+E7*0.20+F7*0.10)</f>
        <v/>
      </c>
    </row>
    <row r="8" ht="20" customHeight="1">
      <c r="A8" s="26" t="n">
        <v>5</v>
      </c>
      <c r="B8" s="45" t="inlineStr">
        <is>
          <t>Docente / académico</t>
        </is>
      </c>
      <c r="C8" s="23" t="n">
        <v>12000</v>
      </c>
      <c r="D8" s="23" t="n">
        <v>14000</v>
      </c>
      <c r="E8" s="23" t="n">
        <v>17000</v>
      </c>
      <c r="F8" s="23" t="n">
        <v>20000</v>
      </c>
      <c r="G8" s="22" t="n">
        <v>10</v>
      </c>
      <c r="H8" s="46">
        <f>G8*(C8*0.30+D8*0.40+E8*0.20+F8*0.10)</f>
        <v/>
      </c>
    </row>
    <row r="9" ht="20" customHeight="1">
      <c r="A9" s="19" t="n">
        <v>6</v>
      </c>
      <c r="B9" s="47" t="inlineStr">
        <is>
          <t>Profesional del área</t>
        </is>
      </c>
      <c r="C9" s="23" t="n">
        <v>15000</v>
      </c>
      <c r="D9" s="23" t="n">
        <v>18000</v>
      </c>
      <c r="E9" s="23" t="n">
        <v>20000</v>
      </c>
      <c r="F9" s="23" t="n">
        <v>25000</v>
      </c>
      <c r="G9" s="22" t="n">
        <v>10</v>
      </c>
      <c r="H9" s="46">
        <f>G9*(C9*0.30+D9*0.40+E9*0.20+F9*0.10)</f>
        <v/>
      </c>
    </row>
    <row r="10" ht="20" customHeight="1">
      <c r="A10" s="26" t="n">
        <v>7</v>
      </c>
      <c r="B10" s="45" t="inlineStr">
        <is>
          <t>Expositor de paper (precio fijo)</t>
        </is>
      </c>
      <c r="C10" s="23" t="n">
        <v>12000</v>
      </c>
      <c r="D10" s="23" t="n">
        <v>12000</v>
      </c>
      <c r="E10" s="23" t="n">
        <v>12000</v>
      </c>
      <c r="F10" s="23" t="n">
        <v>12000</v>
      </c>
      <c r="G10" s="22" t="n">
        <v>10</v>
      </c>
      <c r="H10" s="46">
        <f>G10*(C10*0.30+D10*0.40+E10*0.20+F10*0.10)</f>
        <v/>
      </c>
    </row>
    <row r="11" ht="20" customHeight="1">
      <c r="A11" s="19" t="n">
        <v>8</v>
      </c>
      <c r="B11" s="47" t="inlineStr">
        <is>
          <t>Invitado / cortesía (auspiciadores)</t>
        </is>
      </c>
      <c r="C11" s="23" t="n">
        <v>0</v>
      </c>
      <c r="D11" s="23" t="n">
        <v>0</v>
      </c>
      <c r="E11" s="23" t="n">
        <v>0</v>
      </c>
      <c r="F11" s="23" t="n">
        <v>0</v>
      </c>
      <c r="G11" s="22" t="n">
        <v>5</v>
      </c>
      <c r="H11" s="46">
        <f>G11*(C11*0.30+D11*0.40+E11*0.20+F11*0.10)</f>
        <v/>
      </c>
    </row>
    <row r="12" ht="26" customHeight="1">
      <c r="A12" s="48" t="inlineStr">
        <is>
          <t>TOTAL ASISTENTES / INGRESOS PROYECTADOS POR ENTRADAS</t>
        </is>
      </c>
      <c r="H12" s="49">
        <f>SUM(H4:H11)</f>
        <v/>
      </c>
    </row>
    <row r="14" ht="30" customHeight="1">
      <c r="A14" s="15" t="inlineStr">
        <is>
          <t>💡 Supuesto de mix de ventas aplicado al Ingreso Proyectado: 30% a precio Preventa 1 · 40% a Preventa 2 · 20% a Preventa 3 · 10% en Puerta. Modifica los precios y asistentes según tu estimación real.</t>
        </is>
      </c>
    </row>
  </sheetData>
  <mergeCells count="4">
    <mergeCell ref="A14:H14"/>
    <mergeCell ref="A2:H2"/>
    <mergeCell ref="A12:G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2026-08-10T04:44:06Z</dcterms:created>
  <dcterms:modified xmlns:dcterms="http://purl.org/dc/terms/" xmlns:xsi="http://www.w3.org/2001/XMLSchema-instance" xsi:type="dcterms:W3CDTF">2026-08-10T04:44:07Z</dcterms:modified>
</cp:coreProperties>
</file>