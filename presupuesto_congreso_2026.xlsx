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m\Desktop\congreso-electronico-2026\"/>
    </mc:Choice>
  </mc:AlternateContent>
  <xr:revisionPtr revIDLastSave="0" documentId="13_ncr:1_{5A1707E9-29DB-49F7-AF7F-13AF57F28F8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📊 Resumen" sheetId="1" r:id="rId1"/>
    <sheet name="💰 Gastos" sheetId="2" r:id="rId2"/>
    <sheet name="🤝 Auspicios" sheetId="3" r:id="rId3"/>
    <sheet name="🎟️ Entrad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2" l="1"/>
  <c r="H12" i="4"/>
  <c r="H11" i="4"/>
  <c r="H10" i="4"/>
  <c r="H9" i="4"/>
  <c r="H8" i="4"/>
  <c r="H7" i="4"/>
  <c r="H6" i="4"/>
  <c r="H5" i="4"/>
  <c r="H4" i="4"/>
  <c r="E25" i="3"/>
  <c r="B10" i="1" s="1"/>
  <c r="D25" i="3"/>
  <c r="B9" i="1" s="1"/>
  <c r="F46" i="2"/>
  <c r="F45" i="2"/>
  <c r="F44" i="2"/>
  <c r="F42" i="2"/>
  <c r="F41" i="2"/>
  <c r="F40" i="2"/>
  <c r="F38" i="2"/>
  <c r="F37" i="2"/>
  <c r="F36" i="2"/>
  <c r="F35" i="2"/>
  <c r="F33" i="2"/>
  <c r="F32" i="2"/>
  <c r="F30" i="2"/>
  <c r="F29" i="2"/>
  <c r="F28" i="2"/>
  <c r="F27" i="2"/>
  <c r="F26" i="2"/>
  <c r="F24" i="2"/>
  <c r="F23" i="2"/>
  <c r="F22" i="2"/>
  <c r="F20" i="2"/>
  <c r="F19" i="2"/>
  <c r="F18" i="2"/>
  <c r="F17" i="2"/>
  <c r="F16" i="2"/>
  <c r="F15" i="2"/>
  <c r="F14" i="2"/>
  <c r="F13" i="2"/>
  <c r="F12" i="2"/>
  <c r="F11" i="2"/>
  <c r="F9" i="2"/>
  <c r="F8" i="2"/>
  <c r="F7" i="2"/>
  <c r="E47" i="2" l="1"/>
  <c r="F47" i="2" s="1"/>
  <c r="F60" i="2" s="1"/>
  <c r="B8" i="1"/>
  <c r="B13" i="1"/>
  <c r="B15" i="1" l="1"/>
  <c r="B19" i="1"/>
  <c r="B5" i="1"/>
  <c r="B14" i="1"/>
  <c r="B18" i="1"/>
</calcChain>
</file>

<file path=xl/sharedStrings.xml><?xml version="1.0" encoding="utf-8"?>
<sst xmlns="http://schemas.openxmlformats.org/spreadsheetml/2006/main" count="176" uniqueCount="173">
  <si>
    <t>📊 RESUMEN FINANCIERO — CONGRESO ELECTRÓNICO 2026</t>
  </si>
  <si>
    <t>Este resumen se actualiza solo al modificar las hojas Gastos, Auspicios y Entradas</t>
  </si>
  <si>
    <t>▶  GASTOS</t>
  </si>
  <si>
    <t>💸  Total Presupuesto de Gastos</t>
  </si>
  <si>
    <t>▶  INGRESOS</t>
  </si>
  <si>
    <t>🎟️  Ingresos proyectados por entradas</t>
  </si>
  <si>
    <t>🤝  Auspicios acordados (total convenios)</t>
  </si>
  <si>
    <t>💵  Auspicios recibidos (dinero en caja)</t>
  </si>
  <si>
    <t>▶  BALANCE Y NECESIDADES</t>
  </si>
  <si>
    <t>📈  Total ingresos proyectados (entradas + auspicios acordados)</t>
  </si>
  <si>
    <t>💰  Balance neto (Ingresos proyectados − Gastos)</t>
  </si>
  <si>
    <t>🎯  ⚠️  Monto aún necesario (solo con caja real recibida)</t>
  </si>
  <si>
    <t>▶  COBERTURA DEL PRESUPUESTO</t>
  </si>
  <si>
    <t>% del presupuesto cubierto (ingresos totales / gastos)</t>
  </si>
  <si>
    <t>% cubierto con dinero en caja real (auspicios recibidos + entradas)</t>
  </si>
  <si>
    <t>💡 Instrucciones: Esta hoja no se edita directamente. Ve a 💰 Gastos para ajustar el presupuesto · Ve a 🤝 Auspicios para registrar auspiciadores · Ve a 🎟️ Entradas para ajustar precios y asistentes esperados.</t>
  </si>
  <si>
    <t>🎓 CONGRESO ELECTRÓNICO 2026 — PRESUPUESTO DE GASTOS</t>
  </si>
  <si>
    <t>IEEE RAS UdeC  ·  Centro de Estudiantes Ing. Civil Electrónica  ·  Universidad de Concepción  ·  11–13 noviembre 2026</t>
  </si>
  <si>
    <t>#</t>
  </si>
  <si>
    <t>Categoría / Ítem de Gasto</t>
  </si>
  <si>
    <t>Descripción / Detalle</t>
  </si>
  <si>
    <t>Cantidad</t>
  </si>
  <si>
    <t>Costo Unitario (CLP)</t>
  </si>
  <si>
    <t>Total Ítem (CLP)</t>
  </si>
  <si>
    <t>Notas</t>
  </si>
  <si>
    <t xml:space="preserve">  CATERING Y ALIMENTACIÓN</t>
  </si>
  <si>
    <t>Coffee Break (días 1 y 2)</t>
  </si>
  <si>
    <t>Café, jugos, galletas, frutas — 2 coffee breaks/día × 2 días = 4 breaks</t>
  </si>
  <si>
    <t>Estimado por persona, 120 asistentes promedio</t>
  </si>
  <si>
    <t>Coffee Break (día 3 — cierre)</t>
  </si>
  <si>
    <t>Break especial día de clausura</t>
  </si>
  <si>
    <t>Puede incluir algo más elaborado para el cierre</t>
  </si>
  <si>
    <t>Almuerzo asistentes (días 2 y 3)</t>
  </si>
  <si>
    <t>Colación o voucher de almuerzo — 2 jornadas completas</t>
  </si>
  <si>
    <t>Cotizar casino UdeC u opción externa</t>
  </si>
  <si>
    <t>Catering ponentes / organizadores</t>
  </si>
  <si>
    <t>Almuerzo diferenciado para expositores, talleristas y comité</t>
  </si>
  <si>
    <t>~15 ponentes + 5 organizadores</t>
  </si>
  <si>
    <t>Celebración de cierre</t>
  </si>
  <si>
    <t>Bebidas, snacks y bocados para la actividad recreativa final</t>
  </si>
  <si>
    <t>Estimado 100 personas en el cierre</t>
  </si>
  <si>
    <t xml:space="preserve">  IMPRESIÓN Y MATERIALES</t>
  </si>
  <si>
    <t>Pendones auspiciadores — Platino (XL)</t>
  </si>
  <si>
    <t>Pendón 80×200 cm con logo destacado, uno por auspiciador Platino</t>
  </si>
  <si>
    <t>Cotizar imprenta local — pedido mínimo 3</t>
  </si>
  <si>
    <t>Pendones auspiciadores — Oro</t>
  </si>
  <si>
    <t>Pendón 60×160 cm, uno por auspiciador Oro</t>
  </si>
  <si>
    <t>Pendones auspiciadores — Plata</t>
  </si>
  <si>
    <t>Pendón 60×160 cm, uno por auspiciador Plata</t>
  </si>
  <si>
    <t>Pendones generales del evento y co-organizadores</t>
  </si>
  <si>
    <t>IEEE RAS, CEICE, UdeC, Congreso</t>
  </si>
  <si>
    <t>Credenciales / fotochecks</t>
  </si>
  <si>
    <t>Impresión + porta-credencial. Roles: asistente, expositor, org., voluntario</t>
  </si>
  <si>
    <t>Señalética del evento</t>
  </si>
  <si>
    <t>Indicadores de salas, stands numerados, zonas de coffee break</t>
  </si>
  <si>
    <t>Incluir flechas y carteles de ubicación</t>
  </si>
  <si>
    <t>Carpetas / kits para asistentes</t>
  </si>
  <si>
    <t>Folder con material informativo, programa y bloc de notas</t>
  </si>
  <si>
    <t>Flyers y material de difusión (físico)</t>
  </si>
  <si>
    <t>Afiches para campus UdeC y otras universidades</t>
  </si>
  <si>
    <t>Impresión A3 color</t>
  </si>
  <si>
    <t>Diplomas — ponentes y talleristas</t>
  </si>
  <si>
    <t>Diploma impreso, firmado y enmarcado (opcional)</t>
  </si>
  <si>
    <t>~20 ponentes + 15 talleristas</t>
  </si>
  <si>
    <t>Diplomas — voluntarios</t>
  </si>
  <si>
    <t>Diploma oficial acreditación curricular para voluntarios</t>
  </si>
  <si>
    <t xml:space="preserve">  MERCHANDISING</t>
  </si>
  <si>
    <t>Poleras equipo organizador</t>
  </si>
  <si>
    <t>Polera oficial del congreso para comité y voluntarios</t>
  </si>
  <si>
    <t>Cotizar desde 20 unidades para precio especial</t>
  </si>
  <si>
    <t>Stickers / pins del evento</t>
  </si>
  <si>
    <t>Stickers con logo del congreso para asistentes</t>
  </si>
  <si>
    <t>Libretas / lápices (kit asistente)</t>
  </si>
  <si>
    <t>Material de trabajo para asistentes — incluible en carpeta</t>
  </si>
  <si>
    <t xml:space="preserve">  PRODUCCIÓN AUDIOVISUAL</t>
  </si>
  <si>
    <t>Arriendo sistema de sonido (si falta)</t>
  </si>
  <si>
    <t>Micrófono inalámbrico extra, parlantes. Verificar equipo UdeC primero</t>
  </si>
  <si>
    <t>Solo si el auditorio UdeC no lo provee</t>
  </si>
  <si>
    <t>Arriendo proyector extra (salas paralelas)</t>
  </si>
  <si>
    <t>Proyector para salas de talleres</t>
  </si>
  <si>
    <t>Salas paralelas pueden no tener proyector</t>
  </si>
  <si>
    <t>Fotografía profesional (días 2 y 3)</t>
  </si>
  <si>
    <t>Fotógrafo para cobertura de las jornadas principales</t>
  </si>
  <si>
    <t>Por jornada. Considerar estudiante de periodismo</t>
  </si>
  <si>
    <t>Transmisión / streaming (opcional)</t>
  </si>
  <si>
    <t>Cámara + software para transmitir algunas charlas en vivo</t>
  </si>
  <si>
    <t>Opcional según presupuesto disponible</t>
  </si>
  <si>
    <t>Iluminación extra (escenario/auditorio)</t>
  </si>
  <si>
    <t>Luces de escenario para charlas plenarias</t>
  </si>
  <si>
    <t>Cotizar con proveedores AV</t>
  </si>
  <si>
    <t xml:space="preserve">  PLATAFORMA Y COMISIONES</t>
  </si>
  <si>
    <t>Comisión plataforma de tickets (PassLine/otro)</t>
  </si>
  <si>
    <t>Comisión promedio ~5-8% sobre ventas brutas de entradas</t>
  </si>
  <si>
    <t>Ajustar según proyección de ventas en hoja Entradas</t>
  </si>
  <si>
    <t>Punto de venta físico (lector de tarjeta)</t>
  </si>
  <si>
    <t>Arriendo o comisión por terminal de pago para venta en puerta</t>
  </si>
  <si>
    <t xml:space="preserve">  MATERIALES PARA TALLERES</t>
  </si>
  <si>
    <t>Materiales taller de soldadura</t>
  </si>
  <si>
    <t>Soldadores, estaño, placas PCB, componentes</t>
  </si>
  <si>
    <t>Por participante — taller de ~20 personas</t>
  </si>
  <si>
    <t>Materiales taller PCB</t>
  </si>
  <si>
    <t>Software (licencias o acceso), placas prototipo, insumos</t>
  </si>
  <si>
    <t>Materiales taller instrumento electrónico</t>
  </si>
  <si>
    <t>Componentes específicos del instrumento por participante</t>
  </si>
  <si>
    <t>Definir según tallerista confirmado</t>
  </si>
  <si>
    <t>Materiales talleres software (C, Matlab, LaTeX)</t>
  </si>
  <si>
    <t>Acceso a PC o salas de computación — costo de uso</t>
  </si>
  <si>
    <t>Gestionar sala computación UdeC (puede ser $0)</t>
  </si>
  <si>
    <t xml:space="preserve">  MARKETING Y DISEÑO DIGITAL</t>
  </si>
  <si>
    <t>Diseño gráfico (externo, si aplica)</t>
  </si>
  <si>
    <t>Apoyo profesional para identidad visual si no lo hace el equipo</t>
  </si>
  <si>
    <t>Puede ser $0 si lo hace equipo interno</t>
  </si>
  <si>
    <t>Pauta en redes sociales (ads Instagram/LinkedIn)</t>
  </si>
  <si>
    <t>Publicidad pagada para alcanzar más público</t>
  </si>
  <si>
    <t>Recomendado para masificar convocatoria</t>
  </si>
  <si>
    <t>Dominio web + hosting (si aplica)</t>
  </si>
  <si>
    <t>Sitio web del congreso (opcional)</t>
  </si>
  <si>
    <t>Alternativa gratuita: Linktree o perfil IG</t>
  </si>
  <si>
    <t xml:space="preserve">  LOGÍSTICA GENERAL</t>
  </si>
  <si>
    <t>Transporte ponentes externos (desde otras ciudades)</t>
  </si>
  <si>
    <t>Pasajes + viáticos para expositores de otras regiones</t>
  </si>
  <si>
    <t>Estimado 3 ponentes externos</t>
  </si>
  <si>
    <t>Alojamiento ponentes externos (si aplica)</t>
  </si>
  <si>
    <t>1 noche hotel para ponente de fuera de Concepción</t>
  </si>
  <si>
    <t>Negociar con ponentes — muchos pueden no requerirlo</t>
  </si>
  <si>
    <t>Gastos administrativos (copias, estampillas, etc.)</t>
  </si>
  <si>
    <t>Trámites, documentos, convenios, sobres</t>
  </si>
  <si>
    <t>Imprevistos y contingencia (10%)</t>
  </si>
  <si>
    <t>Reserva para gastos no contemplados</t>
  </si>
  <si>
    <t>⚠️ Este valor se calcula automáticamente abajo</t>
  </si>
  <si>
    <t>TOTAL PRESUPUESTO DE GASTOS</t>
  </si>
  <si>
    <t>🔵 Celda azul = valor editable (ingresa aquí tus datos)</t>
  </si>
  <si>
    <t>⚫ Celda negra = fórmula automática (no editar)</t>
  </si>
  <si>
    <t>⚠️  La Contingencia (10%) se calcula automáticamente sobre el subtotal sin contingencia. Los gastos en 0 son opcionales.</t>
  </si>
  <si>
    <t>🤝 REGISTRO DE AUSPICIADORES — CONGRESO ELECTRÓNICO 2026</t>
  </si>
  <si>
    <t>Agrega cada auspiciador y su monto — el Resumen se actualiza automáticamente</t>
  </si>
  <si>
    <t>Categorías de auspicio:    🥇 Platino = $1.000.000    🥈 Oro = $800.000    🥉 Plata = $600.000    🔵 Bronce = $400.000    🎁 Apoyo = Especie/Otro</t>
  </si>
  <si>
    <t>Empresa / Organización</t>
  </si>
  <si>
    <t>Categoría</t>
  </si>
  <si>
    <t>Monto Acordado (CLP)</t>
  </si>
  <si>
    <t>Monto Recibido (CLP)</t>
  </si>
  <si>
    <t>Beneficios comprometidos</t>
  </si>
  <si>
    <t>Estado</t>
  </si>
  <si>
    <t>Observaciones</t>
  </si>
  <si>
    <t>Recibido</t>
  </si>
  <si>
    <t>Pago completo recibido</t>
  </si>
  <si>
    <t>TOTAL AUSPICIOS ACORDADOS / RECIBIDOS</t>
  </si>
  <si>
    <t>💡 Instrucciones: Ingresa el nombre de la empresa, selecciona la categoría, el monto acordado en convenio y el monto efectivamente recibido. Deja en 0 el monto recibido si aún no ha llegado el pago.</t>
  </si>
  <si>
    <t>🎟️ PROYECCIÓN DE INGRESOS POR ENTRADAS — CONGRESO ELECTRÓNICO 2026</t>
  </si>
  <si>
    <t>Modifica los precios y cantidades estimadas — el total se actualiza automáticamente</t>
  </si>
  <si>
    <t>Categoría de Asistente</t>
  </si>
  <si>
    <t>Precio P1
(CLP)</t>
  </si>
  <si>
    <t>Precio P2
(CLP)</t>
  </si>
  <si>
    <t>Precio P3
(CLP)</t>
  </si>
  <si>
    <t>Precio Puerta
(CLP)</t>
  </si>
  <si>
    <t>Asistentes
esperados</t>
  </si>
  <si>
    <t>Ingreso
Proyectado (CLP)</t>
  </si>
  <si>
    <t>Estudiante IEEE activo</t>
  </si>
  <si>
    <t>Estudiante mechón UdeC (1er año)</t>
  </si>
  <si>
    <t>Estudiante UdeC (sin membresía IEEE)</t>
  </si>
  <si>
    <t>Estudiante otra universidad</t>
  </si>
  <si>
    <t>Docente / académico</t>
  </si>
  <si>
    <t>Profesional del área</t>
  </si>
  <si>
    <t>Expositor de paper (precio fijo)</t>
  </si>
  <si>
    <t>Invitado / cortesía (auspiciadores)</t>
  </si>
  <si>
    <t>TOTAL ASISTENTES / INGRESOS PROYECTADOS POR ENTRADAS</t>
  </si>
  <si>
    <t>💡 Supuesto de mix de ventas aplicado al Ingreso Proyectado: 30% a precio Preventa 1 · 40% a Preventa 2 · 20% a Preventa 3 · 10% en Puerta. Modifica los precios y asistentes según tu estimación real.</t>
  </si>
  <si>
    <t>IEEE RAS UdeC</t>
  </si>
  <si>
    <t>Organizador</t>
  </si>
  <si>
    <t>Pendones institucionales (IEEE/UdeC/CAA)</t>
  </si>
  <si>
    <t>OTROS</t>
  </si>
  <si>
    <t>Cocktel</t>
  </si>
  <si>
    <t>Reserva de todos los gastos cubiertos de cocktel club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</si>
</sst>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CLP&quot;"/>
    <numFmt numFmtId="165" formatCode="0.0%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888888"/>
      <name val="Arial"/>
    </font>
    <font>
      <sz val="10"/>
      <color rgb="FF000000"/>
      <name val="Arial"/>
    </font>
    <font>
      <sz val="9"/>
      <color rgb="FF555555"/>
      <name val="Arial"/>
    </font>
    <font>
      <sz val="10"/>
      <color rgb="FF0000CD"/>
      <name val="Arial"/>
    </font>
    <font>
      <b/>
      <sz val="10"/>
      <color rgb="FF000000"/>
      <name val="Arial"/>
    </font>
    <font>
      <i/>
      <sz val="9"/>
      <color rgb="FF777777"/>
      <name val="Arial"/>
    </font>
    <font>
      <b/>
      <sz val="12"/>
      <color rgb="FFFFFFFF"/>
      <name val="Arial"/>
    </font>
    <font>
      <i/>
      <sz val="9"/>
      <color rgb="FF0000CD"/>
      <name val="Arial"/>
    </font>
    <font>
      <i/>
      <sz val="9"/>
      <color rgb="FF000000"/>
      <name val="Arial"/>
    </font>
    <font>
      <i/>
      <sz val="9"/>
      <color rgb="FFC0392B"/>
      <name val="Arial"/>
    </font>
    <font>
      <b/>
      <sz val="10"/>
      <color rgb="FF3D2B00"/>
      <name val="Arial"/>
    </font>
    <font>
      <i/>
      <sz val="9"/>
      <color rgb="FF333333"/>
      <name val="Arial"/>
    </font>
    <font>
      <b/>
      <sz val="13"/>
      <color rgb="FFFFFFFF"/>
      <name val="Arial"/>
    </font>
    <font>
      <b/>
      <sz val="15"/>
      <color rgb="FFFFFFFF"/>
      <name val="Arial"/>
    </font>
    <font>
      <b/>
      <sz val="11"/>
      <color rgb="FF222222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FA3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4F6FA"/>
      </patternFill>
    </fill>
    <fill>
      <patternFill patternType="solid">
        <fgColor rgb="FFFFF3CD"/>
      </patternFill>
    </fill>
    <fill>
      <patternFill patternType="solid">
        <fgColor rgb="FFD4A017"/>
      </patternFill>
    </fill>
    <fill>
      <patternFill patternType="solid">
        <fgColor rgb="FF1A7B6B"/>
      </patternFill>
    </fill>
    <fill>
      <patternFill patternType="solid">
        <fgColor rgb="FFC0392B"/>
      </patternFill>
    </fill>
    <fill>
      <patternFill patternType="solid">
        <fgColor rgb="FFF7F9FC"/>
      </patternFill>
    </fill>
    <fill>
      <patternFill patternType="solid">
        <fgColor rgb="FFD4AC0D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/>
      <top/>
      <bottom/>
      <diagonal/>
    </border>
    <border>
      <left/>
      <right style="medium">
        <color rgb="FF888888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9" fillId="11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3" fillId="2" borderId="2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right" vertical="center"/>
    </xf>
    <xf numFmtId="164" fontId="17" fillId="3" borderId="1" xfId="0" applyNumberFormat="1" applyFont="1" applyFill="1" applyBorder="1" applyAlignment="1">
      <alignment horizontal="right" vertical="center"/>
    </xf>
    <xf numFmtId="0" fontId="0" fillId="0" borderId="3" xfId="0" applyBorder="1"/>
    <xf numFmtId="165" fontId="17" fillId="9" borderId="1" xfId="0" applyNumberFormat="1" applyFont="1" applyFill="1" applyBorder="1" applyAlignment="1">
      <alignment horizontal="right" vertical="center"/>
    </xf>
    <xf numFmtId="164" fontId="17" fillId="10" borderId="1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0" fillId="0" borderId="0" xfId="0"/>
    <xf numFmtId="165" fontId="17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64" fontId="17" fillId="9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64" fontId="17" fillId="1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FA3"/>
  </sheetPr>
  <dimension ref="A1:C21"/>
  <sheetViews>
    <sheetView showGridLines="0" tabSelected="1" topLeftCell="A7" workbookViewId="0">
      <selection sqref="A1:C1"/>
    </sheetView>
  </sheetViews>
  <sheetFormatPr baseColWidth="10" defaultColWidth="8.88671875" defaultRowHeight="14.4" x14ac:dyDescent="0.3"/>
  <cols>
    <col min="1" max="1" width="66.5546875" bestFit="1" customWidth="1"/>
    <col min="2" max="3" width="22" customWidth="1"/>
  </cols>
  <sheetData>
    <row r="1" spans="1:3" ht="45" customHeight="1" x14ac:dyDescent="0.3">
      <c r="A1" s="31" t="s">
        <v>0</v>
      </c>
      <c r="B1" s="32"/>
      <c r="C1" s="32"/>
    </row>
    <row r="2" spans="1:3" ht="22.05" customHeight="1" x14ac:dyDescent="0.3">
      <c r="A2" s="41" t="s">
        <v>1</v>
      </c>
      <c r="B2" s="32"/>
      <c r="C2" s="32"/>
    </row>
    <row r="4" spans="1:3" ht="25.95" customHeight="1" x14ac:dyDescent="0.3">
      <c r="A4" s="40" t="s">
        <v>2</v>
      </c>
      <c r="B4" s="32"/>
      <c r="C4" s="32"/>
    </row>
    <row r="5" spans="1:3" ht="31.95" customHeight="1" x14ac:dyDescent="0.3">
      <c r="A5" s="1" t="s">
        <v>3</v>
      </c>
      <c r="B5" s="30">
        <f>'💰 Gastos'!F60</f>
        <v>9633700</v>
      </c>
      <c r="C5" s="28"/>
    </row>
    <row r="7" spans="1:3" ht="25.95" customHeight="1" x14ac:dyDescent="0.3">
      <c r="A7" s="37" t="s">
        <v>4</v>
      </c>
      <c r="B7" s="32"/>
      <c r="C7" s="32"/>
    </row>
    <row r="8" spans="1:3" ht="31.95" customHeight="1" x14ac:dyDescent="0.3">
      <c r="A8" s="1" t="s">
        <v>5</v>
      </c>
      <c r="B8" s="35">
        <f>'🎟️ Entradas'!H12</f>
        <v>1664000</v>
      </c>
      <c r="C8" s="28"/>
    </row>
    <row r="9" spans="1:3" ht="31.95" customHeight="1" x14ac:dyDescent="0.3">
      <c r="A9" s="1" t="s">
        <v>6</v>
      </c>
      <c r="B9" s="39">
        <f>'🤝 Auspicios'!D25</f>
        <v>1400000</v>
      </c>
      <c r="C9" s="28"/>
    </row>
    <row r="10" spans="1:3" ht="31.95" customHeight="1" x14ac:dyDescent="0.3">
      <c r="A10" s="1" t="s">
        <v>7</v>
      </c>
      <c r="B10" s="35">
        <f>'🤝 Auspicios'!E25</f>
        <v>1400000</v>
      </c>
      <c r="C10" s="28"/>
    </row>
    <row r="12" spans="1:3" ht="25.95" customHeight="1" x14ac:dyDescent="0.3">
      <c r="A12" s="34" t="s">
        <v>8</v>
      </c>
      <c r="B12" s="32"/>
      <c r="C12" s="32"/>
    </row>
    <row r="13" spans="1:3" ht="31.95" customHeight="1" x14ac:dyDescent="0.3">
      <c r="A13" s="1" t="s">
        <v>9</v>
      </c>
      <c r="B13" s="27">
        <f>'🎟️ Entradas'!H12+'🤝 Auspicios'!D25</f>
        <v>3064000</v>
      </c>
      <c r="C13" s="28"/>
    </row>
    <row r="14" spans="1:3" ht="31.95" customHeight="1" x14ac:dyDescent="0.3">
      <c r="A14" s="1" t="s">
        <v>10</v>
      </c>
      <c r="B14" s="36">
        <f>'🎟️ Entradas'!H12+'🤝 Auspicios'!D25-'💰 Gastos'!F60</f>
        <v>-6569700</v>
      </c>
      <c r="C14" s="28"/>
    </row>
    <row r="15" spans="1:3" ht="31.95" customHeight="1" x14ac:dyDescent="0.3">
      <c r="A15" s="1" t="s">
        <v>11</v>
      </c>
      <c r="B15" s="30">
        <f>'💰 Gastos'!F60-'🎟️ Entradas'!H12-'🤝 Auspicios'!E25</f>
        <v>6569700</v>
      </c>
      <c r="C15" s="28"/>
    </row>
    <row r="17" spans="1:3" ht="19.95" customHeight="1" x14ac:dyDescent="0.3">
      <c r="A17" s="34" t="s">
        <v>12</v>
      </c>
      <c r="B17" s="32"/>
      <c r="C17" s="32"/>
    </row>
    <row r="18" spans="1:3" ht="28.05" customHeight="1" x14ac:dyDescent="0.3">
      <c r="A18" s="1" t="s">
        <v>13</v>
      </c>
      <c r="B18" s="29">
        <f>IFERROR(('🎟️ Entradas'!H12+'🤝 Auspicios'!D25)/'💰 Gastos'!F60,0)</f>
        <v>0.31805017802090579</v>
      </c>
      <c r="C18" s="28"/>
    </row>
    <row r="19" spans="1:3" ht="28.05" customHeight="1" x14ac:dyDescent="0.3">
      <c r="A19" s="1" t="s">
        <v>14</v>
      </c>
      <c r="B19" s="33">
        <f>IFERROR(('🎟️ Entradas'!H12+'🤝 Auspicios'!E25)/'💰 Gastos'!F60,0)</f>
        <v>0.31805017802090579</v>
      </c>
      <c r="C19" s="28"/>
    </row>
    <row r="21" spans="1:3" ht="34.950000000000003" customHeight="1" x14ac:dyDescent="0.3">
      <c r="A21" s="38" t="s">
        <v>15</v>
      </c>
      <c r="B21" s="32"/>
      <c r="C21" s="32"/>
    </row>
  </sheetData>
  <mergeCells count="16">
    <mergeCell ref="A21:C21"/>
    <mergeCell ref="B9:C9"/>
    <mergeCell ref="A4:C4"/>
    <mergeCell ref="B8:C8"/>
    <mergeCell ref="A2:C2"/>
    <mergeCell ref="B19:C19"/>
    <mergeCell ref="A12:C12"/>
    <mergeCell ref="B10:C10"/>
    <mergeCell ref="A17:C17"/>
    <mergeCell ref="B14:C14"/>
    <mergeCell ref="B13:C13"/>
    <mergeCell ref="B18:C18"/>
    <mergeCell ref="B15:C15"/>
    <mergeCell ref="A1:C1"/>
    <mergeCell ref="B5:C5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G63"/>
  <sheetViews>
    <sheetView showGridLines="0" workbookViewId="0">
      <pane ySplit="3" topLeftCell="A46" activePane="bottomLeft" state="frozen"/>
      <selection pane="bottomLeft" activeCell="F6" sqref="F6"/>
    </sheetView>
  </sheetViews>
  <sheetFormatPr baseColWidth="10" defaultColWidth="8.88671875" defaultRowHeight="14.4" x14ac:dyDescent="0.3"/>
  <cols>
    <col min="1" max="1" width="5" customWidth="1"/>
    <col min="2" max="2" width="44.77734375" bestFit="1" customWidth="1"/>
    <col min="3" max="3" width="53.77734375" bestFit="1" customWidth="1"/>
    <col min="4" max="4" width="9.5546875" bestFit="1" customWidth="1"/>
    <col min="5" max="5" width="14.44140625" bestFit="1" customWidth="1"/>
    <col min="6" max="6" width="15.88671875" bestFit="1" customWidth="1"/>
    <col min="7" max="7" width="42.33203125" bestFit="1" customWidth="1"/>
  </cols>
  <sheetData>
    <row r="1" spans="1:7" ht="37.950000000000003" customHeight="1" x14ac:dyDescent="0.3">
      <c r="A1" s="43" t="s">
        <v>16</v>
      </c>
      <c r="B1" s="32"/>
      <c r="C1" s="32"/>
      <c r="D1" s="32"/>
      <c r="E1" s="32"/>
      <c r="F1" s="32"/>
      <c r="G1" s="32"/>
    </row>
    <row r="2" spans="1:7" ht="22.05" customHeight="1" x14ac:dyDescent="0.3">
      <c r="A2" s="41" t="s">
        <v>17</v>
      </c>
      <c r="B2" s="32"/>
      <c r="C2" s="32"/>
      <c r="D2" s="32"/>
      <c r="E2" s="32"/>
      <c r="F2" s="32"/>
      <c r="G2" s="32"/>
    </row>
    <row r="3" spans="1:7" ht="30" customHeight="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</row>
    <row r="4" spans="1:7" ht="22.05" customHeight="1" x14ac:dyDescent="0.3">
      <c r="A4" s="45" t="s">
        <v>25</v>
      </c>
      <c r="B4" s="32"/>
      <c r="C4" s="32"/>
      <c r="D4" s="32"/>
      <c r="E4" s="32"/>
      <c r="F4" s="32"/>
      <c r="G4" s="32"/>
    </row>
    <row r="5" spans="1:7" ht="19.95" customHeight="1" x14ac:dyDescent="0.3">
      <c r="A5" s="3">
        <v>1</v>
      </c>
      <c r="B5" s="4" t="s">
        <v>26</v>
      </c>
      <c r="C5" s="5" t="s">
        <v>27</v>
      </c>
      <c r="D5" s="6">
        <v>250</v>
      </c>
      <c r="E5" s="7"/>
      <c r="F5" s="8">
        <v>800000</v>
      </c>
      <c r="G5" s="9" t="s">
        <v>28</v>
      </c>
    </row>
    <row r="6" spans="1:7" ht="19.95" customHeight="1" x14ac:dyDescent="0.3">
      <c r="A6" s="10">
        <v>2</v>
      </c>
      <c r="B6" s="11" t="s">
        <v>29</v>
      </c>
      <c r="C6" s="12" t="s">
        <v>30</v>
      </c>
      <c r="D6" s="6">
        <v>250</v>
      </c>
      <c r="E6" s="7">
        <v>3000</v>
      </c>
      <c r="F6" s="13">
        <v>450000</v>
      </c>
      <c r="G6" s="14" t="s">
        <v>31</v>
      </c>
    </row>
    <row r="7" spans="1:7" ht="19.95" customHeight="1" x14ac:dyDescent="0.3">
      <c r="A7" s="3">
        <v>3</v>
      </c>
      <c r="B7" s="4" t="s">
        <v>32</v>
      </c>
      <c r="C7" s="5" t="s">
        <v>33</v>
      </c>
      <c r="D7" s="6">
        <v>0</v>
      </c>
      <c r="E7" s="7">
        <v>4500</v>
      </c>
      <c r="F7" s="8">
        <f>D7*E7</f>
        <v>0</v>
      </c>
      <c r="G7" s="9" t="s">
        <v>34</v>
      </c>
    </row>
    <row r="8" spans="1:7" ht="19.95" customHeight="1" x14ac:dyDescent="0.3">
      <c r="A8" s="10">
        <v>4</v>
      </c>
      <c r="B8" s="11" t="s">
        <v>35</v>
      </c>
      <c r="C8" s="12" t="s">
        <v>36</v>
      </c>
      <c r="D8" s="6">
        <v>20</v>
      </c>
      <c r="E8" s="7">
        <v>8000</v>
      </c>
      <c r="F8" s="13">
        <f>D8*E8</f>
        <v>160000</v>
      </c>
      <c r="G8" s="14" t="s">
        <v>37</v>
      </c>
    </row>
    <row r="9" spans="1:7" ht="19.95" customHeight="1" x14ac:dyDescent="0.3">
      <c r="A9" s="3">
        <v>5</v>
      </c>
      <c r="B9" s="4" t="s">
        <v>38</v>
      </c>
      <c r="C9" s="5" t="s">
        <v>39</v>
      </c>
      <c r="D9" s="6">
        <v>100</v>
      </c>
      <c r="E9" s="7">
        <v>3500</v>
      </c>
      <c r="F9" s="8">
        <f>D9*E9</f>
        <v>350000</v>
      </c>
      <c r="G9" s="9" t="s">
        <v>40</v>
      </c>
    </row>
    <row r="10" spans="1:7" ht="22.05" customHeight="1" x14ac:dyDescent="0.3">
      <c r="A10" s="45" t="s">
        <v>41</v>
      </c>
      <c r="B10" s="32"/>
      <c r="C10" s="32"/>
      <c r="D10" s="32"/>
      <c r="E10" s="32"/>
      <c r="F10" s="32"/>
      <c r="G10" s="32"/>
    </row>
    <row r="11" spans="1:7" ht="19.95" customHeight="1" x14ac:dyDescent="0.3">
      <c r="A11" s="3">
        <v>6</v>
      </c>
      <c r="B11" s="4" t="s">
        <v>42</v>
      </c>
      <c r="C11" s="5" t="s">
        <v>43</v>
      </c>
      <c r="D11" s="6">
        <v>3</v>
      </c>
      <c r="E11" s="7">
        <v>35000</v>
      </c>
      <c r="F11" s="8">
        <f t="shared" ref="F11:F20" si="0">D11*E11</f>
        <v>105000</v>
      </c>
      <c r="G11" s="9" t="s">
        <v>44</v>
      </c>
    </row>
    <row r="12" spans="1:7" ht="19.95" customHeight="1" x14ac:dyDescent="0.3">
      <c r="A12" s="10">
        <v>7</v>
      </c>
      <c r="B12" s="11" t="s">
        <v>45</v>
      </c>
      <c r="C12" s="12" t="s">
        <v>46</v>
      </c>
      <c r="D12" s="6">
        <v>2</v>
      </c>
      <c r="E12" s="7">
        <v>28000</v>
      </c>
      <c r="F12" s="13">
        <f t="shared" si="0"/>
        <v>56000</v>
      </c>
      <c r="G12" s="14"/>
    </row>
    <row r="13" spans="1:7" ht="19.95" customHeight="1" x14ac:dyDescent="0.3">
      <c r="A13" s="3">
        <v>8</v>
      </c>
      <c r="B13" s="4" t="s">
        <v>47</v>
      </c>
      <c r="C13" s="5" t="s">
        <v>48</v>
      </c>
      <c r="D13" s="6">
        <v>1</v>
      </c>
      <c r="E13" s="7">
        <v>28000</v>
      </c>
      <c r="F13" s="8">
        <f t="shared" si="0"/>
        <v>28000</v>
      </c>
      <c r="G13" s="9"/>
    </row>
    <row r="14" spans="1:7" ht="19.95" customHeight="1" x14ac:dyDescent="0.3">
      <c r="A14" s="10">
        <v>9</v>
      </c>
      <c r="B14" s="11" t="s">
        <v>169</v>
      </c>
      <c r="C14" s="12" t="s">
        <v>49</v>
      </c>
      <c r="D14" s="6">
        <v>4</v>
      </c>
      <c r="E14" s="7">
        <v>30000</v>
      </c>
      <c r="F14" s="13">
        <f t="shared" si="0"/>
        <v>120000</v>
      </c>
      <c r="G14" s="14" t="s">
        <v>50</v>
      </c>
    </row>
    <row r="15" spans="1:7" ht="19.95" customHeight="1" x14ac:dyDescent="0.3">
      <c r="A15" s="3">
        <v>10</v>
      </c>
      <c r="B15" s="4" t="s">
        <v>51</v>
      </c>
      <c r="C15" s="5" t="s">
        <v>52</v>
      </c>
      <c r="D15" s="6">
        <v>250</v>
      </c>
      <c r="E15" s="7">
        <v>800</v>
      </c>
      <c r="F15" s="8">
        <f t="shared" si="0"/>
        <v>200000</v>
      </c>
      <c r="G15" s="9"/>
    </row>
    <row r="16" spans="1:7" ht="19.95" customHeight="1" x14ac:dyDescent="0.3">
      <c r="A16" s="10">
        <v>11</v>
      </c>
      <c r="B16" s="11" t="s">
        <v>53</v>
      </c>
      <c r="C16" s="12" t="s">
        <v>54</v>
      </c>
      <c r="D16" s="6">
        <v>30</v>
      </c>
      <c r="E16" s="7">
        <v>2500</v>
      </c>
      <c r="F16" s="13">
        <f t="shared" si="0"/>
        <v>75000</v>
      </c>
      <c r="G16" s="14" t="s">
        <v>55</v>
      </c>
    </row>
    <row r="17" spans="1:7" ht="19.95" customHeight="1" x14ac:dyDescent="0.3">
      <c r="A17" s="3">
        <v>12</v>
      </c>
      <c r="B17" s="4" t="s">
        <v>56</v>
      </c>
      <c r="C17" s="5" t="s">
        <v>57</v>
      </c>
      <c r="D17" s="6">
        <v>250</v>
      </c>
      <c r="E17" s="7">
        <v>2200</v>
      </c>
      <c r="F17" s="8">
        <f t="shared" si="0"/>
        <v>550000</v>
      </c>
      <c r="G17" s="9"/>
    </row>
    <row r="18" spans="1:7" ht="19.95" customHeight="1" x14ac:dyDescent="0.3">
      <c r="A18" s="10">
        <v>13</v>
      </c>
      <c r="B18" s="11" t="s">
        <v>58</v>
      </c>
      <c r="C18" s="12" t="s">
        <v>59</v>
      </c>
      <c r="D18" s="6">
        <v>100</v>
      </c>
      <c r="E18" s="7">
        <v>600</v>
      </c>
      <c r="F18" s="13">
        <f t="shared" si="0"/>
        <v>60000</v>
      </c>
      <c r="G18" s="14" t="s">
        <v>60</v>
      </c>
    </row>
    <row r="19" spans="1:7" ht="19.95" customHeight="1" x14ac:dyDescent="0.3">
      <c r="A19" s="3">
        <v>14</v>
      </c>
      <c r="B19" s="4" t="s">
        <v>61</v>
      </c>
      <c r="C19" s="5" t="s">
        <v>62</v>
      </c>
      <c r="D19" s="6">
        <v>35</v>
      </c>
      <c r="E19" s="7">
        <v>1800</v>
      </c>
      <c r="F19" s="8">
        <f t="shared" si="0"/>
        <v>63000</v>
      </c>
      <c r="G19" s="9" t="s">
        <v>63</v>
      </c>
    </row>
    <row r="20" spans="1:7" ht="19.95" customHeight="1" x14ac:dyDescent="0.3">
      <c r="A20" s="10">
        <v>15</v>
      </c>
      <c r="B20" s="11" t="s">
        <v>64</v>
      </c>
      <c r="C20" s="12" t="s">
        <v>65</v>
      </c>
      <c r="D20" s="6">
        <v>25</v>
      </c>
      <c r="E20" s="7">
        <v>1200</v>
      </c>
      <c r="F20" s="13">
        <f t="shared" si="0"/>
        <v>30000</v>
      </c>
      <c r="G20" s="14"/>
    </row>
    <row r="21" spans="1:7" ht="22.05" customHeight="1" x14ac:dyDescent="0.3">
      <c r="A21" s="45" t="s">
        <v>66</v>
      </c>
      <c r="B21" s="32"/>
      <c r="C21" s="32"/>
      <c r="D21" s="32"/>
      <c r="E21" s="32"/>
      <c r="F21" s="32"/>
      <c r="G21" s="32"/>
    </row>
    <row r="22" spans="1:7" ht="19.95" customHeight="1" x14ac:dyDescent="0.3">
      <c r="A22" s="10">
        <v>16</v>
      </c>
      <c r="B22" s="11" t="s">
        <v>67</v>
      </c>
      <c r="C22" s="12" t="s">
        <v>68</v>
      </c>
      <c r="D22" s="6">
        <v>30</v>
      </c>
      <c r="E22" s="7">
        <v>8500</v>
      </c>
      <c r="F22" s="13">
        <f>D22*E22</f>
        <v>255000</v>
      </c>
      <c r="G22" s="14" t="s">
        <v>69</v>
      </c>
    </row>
    <row r="23" spans="1:7" ht="19.95" customHeight="1" x14ac:dyDescent="0.3">
      <c r="A23" s="3">
        <v>17</v>
      </c>
      <c r="B23" s="4" t="s">
        <v>70</v>
      </c>
      <c r="C23" s="5" t="s">
        <v>71</v>
      </c>
      <c r="D23" s="6">
        <v>300</v>
      </c>
      <c r="E23" s="7">
        <v>300</v>
      </c>
      <c r="F23" s="8">
        <f>D23*E23</f>
        <v>90000</v>
      </c>
      <c r="G23" s="9"/>
    </row>
    <row r="24" spans="1:7" ht="19.95" customHeight="1" x14ac:dyDescent="0.3">
      <c r="A24" s="10">
        <v>18</v>
      </c>
      <c r="B24" s="11" t="s">
        <v>72</v>
      </c>
      <c r="C24" s="12" t="s">
        <v>73</v>
      </c>
      <c r="D24" s="6">
        <v>150</v>
      </c>
      <c r="E24" s="7">
        <v>1500</v>
      </c>
      <c r="F24" s="13">
        <f>D24*E24</f>
        <v>225000</v>
      </c>
      <c r="G24" s="14"/>
    </row>
    <row r="25" spans="1:7" ht="22.05" customHeight="1" x14ac:dyDescent="0.3">
      <c r="A25" s="45" t="s">
        <v>74</v>
      </c>
      <c r="B25" s="32"/>
      <c r="C25" s="32"/>
      <c r="D25" s="32"/>
      <c r="E25" s="32"/>
      <c r="F25" s="32"/>
      <c r="G25" s="32"/>
    </row>
    <row r="26" spans="1:7" ht="19.95" customHeight="1" x14ac:dyDescent="0.3">
      <c r="A26" s="10">
        <v>19</v>
      </c>
      <c r="B26" s="11" t="s">
        <v>75</v>
      </c>
      <c r="C26" s="12" t="s">
        <v>76</v>
      </c>
      <c r="D26" s="6">
        <v>1</v>
      </c>
      <c r="E26" s="7">
        <v>80000</v>
      </c>
      <c r="F26" s="13">
        <f>D26*E26</f>
        <v>80000</v>
      </c>
      <c r="G26" s="14" t="s">
        <v>77</v>
      </c>
    </row>
    <row r="27" spans="1:7" ht="19.95" customHeight="1" x14ac:dyDescent="0.3">
      <c r="A27" s="3">
        <v>20</v>
      </c>
      <c r="B27" s="4" t="s">
        <v>78</v>
      </c>
      <c r="C27" s="5" t="s">
        <v>79</v>
      </c>
      <c r="D27" s="6">
        <v>0</v>
      </c>
      <c r="E27" s="7">
        <v>40000</v>
      </c>
      <c r="F27" s="8">
        <f>D27*E27</f>
        <v>0</v>
      </c>
      <c r="G27" s="9" t="s">
        <v>80</v>
      </c>
    </row>
    <row r="28" spans="1:7" ht="19.95" customHeight="1" x14ac:dyDescent="0.3">
      <c r="A28" s="10">
        <v>21</v>
      </c>
      <c r="B28" s="11" t="s">
        <v>81</v>
      </c>
      <c r="C28" s="12" t="s">
        <v>82</v>
      </c>
      <c r="D28" s="6">
        <v>2</v>
      </c>
      <c r="E28" s="7">
        <v>60000</v>
      </c>
      <c r="F28" s="13">
        <f>D28*E28</f>
        <v>120000</v>
      </c>
      <c r="G28" s="14" t="s">
        <v>83</v>
      </c>
    </row>
    <row r="29" spans="1:7" ht="19.95" customHeight="1" x14ac:dyDescent="0.3">
      <c r="A29" s="3">
        <v>22</v>
      </c>
      <c r="B29" s="4" t="s">
        <v>84</v>
      </c>
      <c r="C29" s="5" t="s">
        <v>85</v>
      </c>
      <c r="D29" s="6">
        <v>1</v>
      </c>
      <c r="E29" s="7">
        <v>50000</v>
      </c>
      <c r="F29" s="8">
        <f>D29*E29</f>
        <v>50000</v>
      </c>
      <c r="G29" s="9" t="s">
        <v>86</v>
      </c>
    </row>
    <row r="30" spans="1:7" ht="19.95" customHeight="1" x14ac:dyDescent="0.3">
      <c r="A30" s="10">
        <v>23</v>
      </c>
      <c r="B30" s="11" t="s">
        <v>87</v>
      </c>
      <c r="C30" s="12" t="s">
        <v>88</v>
      </c>
      <c r="D30" s="6">
        <v>0</v>
      </c>
      <c r="E30" s="7">
        <v>30000</v>
      </c>
      <c r="F30" s="13">
        <f>D30*E30</f>
        <v>0</v>
      </c>
      <c r="G30" s="14" t="s">
        <v>89</v>
      </c>
    </row>
    <row r="31" spans="1:7" ht="22.05" customHeight="1" x14ac:dyDescent="0.3">
      <c r="A31" s="45" t="s">
        <v>90</v>
      </c>
      <c r="B31" s="32"/>
      <c r="C31" s="32"/>
      <c r="D31" s="32"/>
      <c r="E31" s="32"/>
      <c r="F31" s="32"/>
      <c r="G31" s="32"/>
    </row>
    <row r="32" spans="1:7" ht="19.95" customHeight="1" x14ac:dyDescent="0.3">
      <c r="A32" s="10">
        <v>24</v>
      </c>
      <c r="B32" s="11" t="s">
        <v>91</v>
      </c>
      <c r="C32" s="12" t="s">
        <v>92</v>
      </c>
      <c r="D32" s="6">
        <v>0</v>
      </c>
      <c r="E32" s="7">
        <v>80000</v>
      </c>
      <c r="F32" s="13">
        <f>D32*E32</f>
        <v>0</v>
      </c>
      <c r="G32" s="14" t="s">
        <v>93</v>
      </c>
    </row>
    <row r="33" spans="1:7" ht="19.95" customHeight="1" x14ac:dyDescent="0.3">
      <c r="A33" s="3">
        <v>25</v>
      </c>
      <c r="B33" s="4" t="s">
        <v>94</v>
      </c>
      <c r="C33" s="5" t="s">
        <v>95</v>
      </c>
      <c r="D33" s="6">
        <v>0</v>
      </c>
      <c r="E33" s="7">
        <v>15000</v>
      </c>
      <c r="F33" s="8">
        <f>D33*E33</f>
        <v>0</v>
      </c>
      <c r="G33" s="9"/>
    </row>
    <row r="34" spans="1:7" ht="22.05" customHeight="1" x14ac:dyDescent="0.3">
      <c r="A34" s="45" t="s">
        <v>96</v>
      </c>
      <c r="B34" s="32"/>
      <c r="C34" s="32"/>
      <c r="D34" s="32"/>
      <c r="E34" s="32"/>
      <c r="F34" s="32"/>
      <c r="G34" s="32"/>
    </row>
    <row r="35" spans="1:7" ht="19.95" customHeight="1" x14ac:dyDescent="0.3">
      <c r="A35" s="3">
        <v>26</v>
      </c>
      <c r="B35" s="4" t="s">
        <v>97</v>
      </c>
      <c r="C35" s="5" t="s">
        <v>98</v>
      </c>
      <c r="D35" s="6">
        <v>20</v>
      </c>
      <c r="E35" s="7">
        <v>11500</v>
      </c>
      <c r="F35" s="8">
        <f>D35*E35</f>
        <v>230000</v>
      </c>
      <c r="G35" s="9" t="s">
        <v>99</v>
      </c>
    </row>
    <row r="36" spans="1:7" ht="19.95" customHeight="1" x14ac:dyDescent="0.3">
      <c r="A36" s="10">
        <v>27</v>
      </c>
      <c r="B36" s="11" t="s">
        <v>100</v>
      </c>
      <c r="C36" s="12" t="s">
        <v>101</v>
      </c>
      <c r="D36" s="6">
        <v>0</v>
      </c>
      <c r="E36" s="7">
        <v>2000</v>
      </c>
      <c r="F36" s="13">
        <f>D36*E36</f>
        <v>0</v>
      </c>
      <c r="G36" s="14"/>
    </row>
    <row r="37" spans="1:7" ht="19.95" customHeight="1" x14ac:dyDescent="0.3">
      <c r="A37" s="3">
        <v>28</v>
      </c>
      <c r="B37" s="4" t="s">
        <v>102</v>
      </c>
      <c r="C37" s="5" t="s">
        <v>103</v>
      </c>
      <c r="D37" s="6">
        <v>20</v>
      </c>
      <c r="E37" s="7">
        <v>10000</v>
      </c>
      <c r="F37" s="8">
        <f>D37*E37</f>
        <v>200000</v>
      </c>
      <c r="G37" s="9" t="s">
        <v>104</v>
      </c>
    </row>
    <row r="38" spans="1:7" ht="19.95" customHeight="1" x14ac:dyDescent="0.3">
      <c r="A38" s="10">
        <v>29</v>
      </c>
      <c r="B38" s="11" t="s">
        <v>105</v>
      </c>
      <c r="C38" s="12" t="s">
        <v>106</v>
      </c>
      <c r="D38" s="6">
        <v>0</v>
      </c>
      <c r="E38" s="7">
        <v>20000</v>
      </c>
      <c r="F38" s="13">
        <f>D38*E38</f>
        <v>0</v>
      </c>
      <c r="G38" s="14" t="s">
        <v>107</v>
      </c>
    </row>
    <row r="39" spans="1:7" ht="22.05" customHeight="1" x14ac:dyDescent="0.3">
      <c r="A39" s="45" t="s">
        <v>108</v>
      </c>
      <c r="B39" s="32"/>
      <c r="C39" s="32"/>
      <c r="D39" s="32"/>
      <c r="E39" s="32"/>
      <c r="F39" s="32"/>
      <c r="G39" s="32"/>
    </row>
    <row r="40" spans="1:7" ht="19.95" customHeight="1" x14ac:dyDescent="0.3">
      <c r="A40" s="10">
        <v>30</v>
      </c>
      <c r="B40" s="11" t="s">
        <v>109</v>
      </c>
      <c r="C40" s="12" t="s">
        <v>110</v>
      </c>
      <c r="D40" s="6">
        <v>0</v>
      </c>
      <c r="E40" s="7">
        <v>0</v>
      </c>
      <c r="F40" s="13">
        <f>D40*E40</f>
        <v>0</v>
      </c>
      <c r="G40" s="14" t="s">
        <v>111</v>
      </c>
    </row>
    <row r="41" spans="1:7" ht="19.95" customHeight="1" x14ac:dyDescent="0.3">
      <c r="A41" s="3">
        <v>31</v>
      </c>
      <c r="B41" s="4" t="s">
        <v>112</v>
      </c>
      <c r="C41" s="5" t="s">
        <v>113</v>
      </c>
      <c r="D41" s="6">
        <v>1</v>
      </c>
      <c r="E41" s="7">
        <v>50000</v>
      </c>
      <c r="F41" s="8">
        <f>D41*E41</f>
        <v>50000</v>
      </c>
      <c r="G41" s="9" t="s">
        <v>114</v>
      </c>
    </row>
    <row r="42" spans="1:7" ht="19.95" customHeight="1" x14ac:dyDescent="0.3">
      <c r="A42" s="10">
        <v>32</v>
      </c>
      <c r="B42" s="11" t="s">
        <v>115</v>
      </c>
      <c r="C42" s="12" t="s">
        <v>116</v>
      </c>
      <c r="D42" s="6">
        <v>1</v>
      </c>
      <c r="E42" s="7">
        <v>0</v>
      </c>
      <c r="F42" s="13">
        <f>D42*E42</f>
        <v>0</v>
      </c>
      <c r="G42" s="14" t="s">
        <v>117</v>
      </c>
    </row>
    <row r="43" spans="1:7" ht="22.05" customHeight="1" x14ac:dyDescent="0.3">
      <c r="A43" s="45" t="s">
        <v>118</v>
      </c>
      <c r="B43" s="32"/>
      <c r="C43" s="32"/>
      <c r="D43" s="32"/>
      <c r="E43" s="32"/>
      <c r="F43" s="32"/>
      <c r="G43" s="32"/>
    </row>
    <row r="44" spans="1:7" ht="19.95" customHeight="1" x14ac:dyDescent="0.3">
      <c r="A44" s="10">
        <v>33</v>
      </c>
      <c r="B44" s="11" t="s">
        <v>119</v>
      </c>
      <c r="C44" s="12" t="s">
        <v>120</v>
      </c>
      <c r="D44" s="6">
        <v>3</v>
      </c>
      <c r="E44" s="7">
        <v>100000</v>
      </c>
      <c r="F44" s="13">
        <f>D44*E44</f>
        <v>300000</v>
      </c>
      <c r="G44" s="14" t="s">
        <v>121</v>
      </c>
    </row>
    <row r="45" spans="1:7" ht="19.95" customHeight="1" x14ac:dyDescent="0.3">
      <c r="A45" s="3">
        <v>34</v>
      </c>
      <c r="B45" s="4" t="s">
        <v>122</v>
      </c>
      <c r="C45" s="5" t="s">
        <v>123</v>
      </c>
      <c r="D45" s="6">
        <v>0</v>
      </c>
      <c r="E45" s="7">
        <v>0</v>
      </c>
      <c r="F45" s="8">
        <f>D45*E45</f>
        <v>0</v>
      </c>
      <c r="G45" s="9" t="s">
        <v>124</v>
      </c>
    </row>
    <row r="46" spans="1:7" ht="19.95" customHeight="1" x14ac:dyDescent="0.3">
      <c r="A46" s="10">
        <v>35</v>
      </c>
      <c r="B46" s="11" t="s">
        <v>125</v>
      </c>
      <c r="C46" s="12" t="s">
        <v>126</v>
      </c>
      <c r="D46" s="6">
        <v>1</v>
      </c>
      <c r="E46" s="7">
        <v>20000</v>
      </c>
      <c r="F46" s="13">
        <f>D46*E46</f>
        <v>20000</v>
      </c>
      <c r="G46" s="14"/>
    </row>
    <row r="47" spans="1:7" ht="19.95" customHeight="1" x14ac:dyDescent="0.3">
      <c r="A47" s="3">
        <v>36</v>
      </c>
      <c r="B47" s="4" t="s">
        <v>127</v>
      </c>
      <c r="C47" s="5" t="s">
        <v>128</v>
      </c>
      <c r="D47" s="15">
        <v>1</v>
      </c>
      <c r="E47" s="13">
        <f>(F5+F6+F7+F8+F9+F11+F12+F13+F14+F15+F16+F17+F18+F19+F20+F22+F23+F24+F26+F27+F28+F29+F30+F32+F33+F35+F36+F37+F38+F40+F41+F42+F44+F45+F46)*0.1</f>
        <v>466700</v>
      </c>
      <c r="F47" s="8">
        <f>D47*E47</f>
        <v>466700</v>
      </c>
      <c r="G47" s="9" t="s">
        <v>129</v>
      </c>
    </row>
    <row r="48" spans="1:7" ht="19.95" customHeight="1" x14ac:dyDescent="0.3">
      <c r="A48" s="45" t="s">
        <v>170</v>
      </c>
      <c r="B48" s="32"/>
      <c r="C48" s="32"/>
      <c r="D48" s="32"/>
      <c r="E48" s="32"/>
      <c r="F48" s="32"/>
      <c r="G48" s="32"/>
    </row>
    <row r="49" spans="1:7" ht="19.95" customHeight="1" x14ac:dyDescent="0.3">
      <c r="A49" s="3">
        <v>37</v>
      </c>
      <c r="B49" s="4" t="s">
        <v>171</v>
      </c>
      <c r="C49" s="5" t="s">
        <v>172</v>
      </c>
      <c r="D49" s="15">
        <v>1</v>
      </c>
      <c r="E49" s="13">
        <v>4500000</v>
      </c>
      <c r="F49" s="8">
        <f>D49*E49</f>
        <v>4500000</v>
      </c>
      <c r="G49" s="9"/>
    </row>
    <row r="50" spans="1:7" x14ac:dyDescent="0.3">
      <c r="A50" s="3">
        <v>38</v>
      </c>
      <c r="B50" s="4"/>
      <c r="C50" s="5"/>
      <c r="D50" s="15"/>
      <c r="E50" s="13"/>
      <c r="F50" s="8"/>
      <c r="G50" s="9"/>
    </row>
    <row r="51" spans="1:7" x14ac:dyDescent="0.3">
      <c r="A51" s="3">
        <v>39</v>
      </c>
      <c r="B51" s="4"/>
      <c r="C51" s="5"/>
      <c r="D51" s="15"/>
      <c r="E51" s="13"/>
      <c r="F51" s="8"/>
      <c r="G51" s="9"/>
    </row>
    <row r="52" spans="1:7" x14ac:dyDescent="0.3">
      <c r="A52" s="3">
        <v>40</v>
      </c>
      <c r="B52" s="4"/>
      <c r="C52" s="5"/>
      <c r="D52" s="15"/>
      <c r="E52" s="13"/>
      <c r="F52" s="8"/>
      <c r="G52" s="9"/>
    </row>
    <row r="53" spans="1:7" x14ac:dyDescent="0.3">
      <c r="A53" s="3">
        <v>41</v>
      </c>
      <c r="B53" s="4"/>
      <c r="C53" s="5"/>
      <c r="D53" s="15"/>
      <c r="E53" s="13"/>
      <c r="F53" s="8"/>
      <c r="G53" s="9"/>
    </row>
    <row r="54" spans="1:7" x14ac:dyDescent="0.3">
      <c r="A54" s="3">
        <v>42</v>
      </c>
      <c r="B54" s="4"/>
      <c r="C54" s="5"/>
      <c r="D54" s="15"/>
      <c r="E54" s="13"/>
      <c r="F54" s="8"/>
      <c r="G54" s="9"/>
    </row>
    <row r="55" spans="1:7" x14ac:dyDescent="0.3">
      <c r="A55" s="3">
        <v>43</v>
      </c>
      <c r="B55" s="4"/>
      <c r="C55" s="5"/>
      <c r="D55" s="15"/>
      <c r="E55" s="13"/>
      <c r="F55" s="8"/>
      <c r="G55" s="9"/>
    </row>
    <row r="56" spans="1:7" x14ac:dyDescent="0.3">
      <c r="A56" s="3">
        <v>44</v>
      </c>
      <c r="B56" s="4"/>
      <c r="C56" s="5"/>
      <c r="D56" s="15"/>
      <c r="E56" s="13"/>
      <c r="F56" s="8"/>
      <c r="G56" s="9"/>
    </row>
    <row r="57" spans="1:7" x14ac:dyDescent="0.3">
      <c r="A57" s="3">
        <v>45</v>
      </c>
      <c r="B57" s="4"/>
      <c r="C57" s="5"/>
      <c r="D57" s="15"/>
      <c r="E57" s="13"/>
      <c r="F57" s="8"/>
      <c r="G57" s="9"/>
    </row>
    <row r="58" spans="1:7" x14ac:dyDescent="0.3">
      <c r="A58" s="3">
        <v>46</v>
      </c>
      <c r="B58" s="4"/>
      <c r="C58" s="5"/>
      <c r="D58" s="15"/>
      <c r="E58" s="13"/>
      <c r="F58" s="8"/>
      <c r="G58" s="9"/>
    </row>
    <row r="59" spans="1:7" ht="15" thickBot="1" x14ac:dyDescent="0.35">
      <c r="A59" s="3">
        <v>47</v>
      </c>
      <c r="B59" s="4"/>
      <c r="C59" s="5"/>
      <c r="D59" s="15"/>
      <c r="E59" s="13"/>
      <c r="F59" s="8"/>
      <c r="G59" s="9"/>
    </row>
    <row r="60" spans="1:7" ht="25.95" customHeight="1" thickBot="1" x14ac:dyDescent="0.35">
      <c r="A60" s="51" t="s">
        <v>130</v>
      </c>
      <c r="B60" s="52"/>
      <c r="C60" s="52"/>
      <c r="D60" s="52"/>
      <c r="E60" s="53"/>
      <c r="F60" s="16">
        <f>SUM(F4:F59)</f>
        <v>9633700</v>
      </c>
      <c r="G60" s="17"/>
    </row>
    <row r="62" spans="1:7" x14ac:dyDescent="0.3">
      <c r="B62" s="46" t="s">
        <v>131</v>
      </c>
      <c r="C62" s="32"/>
      <c r="D62" s="32"/>
      <c r="E62" s="47" t="s">
        <v>132</v>
      </c>
      <c r="F62" s="32"/>
      <c r="G62" s="32"/>
    </row>
    <row r="63" spans="1:7" x14ac:dyDescent="0.3">
      <c r="B63" s="42" t="s">
        <v>133</v>
      </c>
      <c r="C63" s="32"/>
      <c r="D63" s="32"/>
      <c r="E63" s="32"/>
      <c r="F63" s="32"/>
      <c r="G63" s="32"/>
    </row>
  </sheetData>
  <mergeCells count="15">
    <mergeCell ref="B63:G63"/>
    <mergeCell ref="A1:G1"/>
    <mergeCell ref="A60:E60"/>
    <mergeCell ref="A31:G31"/>
    <mergeCell ref="A21:G21"/>
    <mergeCell ref="A39:G39"/>
    <mergeCell ref="A34:G34"/>
    <mergeCell ref="B62:D62"/>
    <mergeCell ref="A4:G4"/>
    <mergeCell ref="A2:G2"/>
    <mergeCell ref="E62:G62"/>
    <mergeCell ref="A25:G25"/>
    <mergeCell ref="A43:G43"/>
    <mergeCell ref="A10:G10"/>
    <mergeCell ref="A48:G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A017"/>
  </sheetPr>
  <dimension ref="A1:H27"/>
  <sheetViews>
    <sheetView showGridLines="0" workbookViewId="0">
      <pane ySplit="4" topLeftCell="A5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18" customWidth="1"/>
    <col min="4" max="5" width="16" customWidth="1"/>
    <col min="6" max="6" width="22" customWidth="1"/>
    <col min="7" max="7" width="18" customWidth="1"/>
    <col min="8" max="8" width="20" customWidth="1"/>
  </cols>
  <sheetData>
    <row r="1" spans="1:8" ht="37.950000000000003" customHeight="1" x14ac:dyDescent="0.3">
      <c r="A1" s="43" t="s">
        <v>134</v>
      </c>
      <c r="B1" s="32"/>
      <c r="C1" s="32"/>
      <c r="D1" s="32"/>
      <c r="E1" s="32"/>
      <c r="F1" s="32"/>
      <c r="G1" s="32"/>
      <c r="H1" s="32"/>
    </row>
    <row r="2" spans="1:8" ht="22.05" customHeight="1" x14ac:dyDescent="0.3">
      <c r="A2" s="41" t="s">
        <v>135</v>
      </c>
      <c r="B2" s="32"/>
      <c r="C2" s="32"/>
      <c r="D2" s="32"/>
      <c r="E2" s="32"/>
      <c r="F2" s="32"/>
      <c r="G2" s="32"/>
      <c r="H2" s="32"/>
    </row>
    <row r="3" spans="1:8" ht="37.950000000000003" customHeight="1" x14ac:dyDescent="0.3">
      <c r="A3" s="48" t="s">
        <v>136</v>
      </c>
      <c r="B3" s="32"/>
      <c r="C3" s="32"/>
      <c r="D3" s="32"/>
      <c r="E3" s="32"/>
      <c r="F3" s="32"/>
      <c r="G3" s="32"/>
      <c r="H3" s="32"/>
    </row>
    <row r="4" spans="1:8" ht="28.05" customHeight="1" x14ac:dyDescent="0.3">
      <c r="A4" s="18" t="s">
        <v>18</v>
      </c>
      <c r="B4" s="18" t="s">
        <v>137</v>
      </c>
      <c r="C4" s="19" t="s">
        <v>138</v>
      </c>
      <c r="D4" s="19" t="s">
        <v>139</v>
      </c>
      <c r="E4" s="19" t="s">
        <v>140</v>
      </c>
      <c r="F4" s="18" t="s">
        <v>141</v>
      </c>
      <c r="G4" s="18" t="s">
        <v>142</v>
      </c>
      <c r="H4" s="18" t="s">
        <v>143</v>
      </c>
    </row>
    <row r="5" spans="1:8" ht="19.95" customHeight="1" x14ac:dyDescent="0.3">
      <c r="A5" s="3">
        <v>1</v>
      </c>
      <c r="B5" s="20" t="s">
        <v>167</v>
      </c>
      <c r="C5" s="20" t="s">
        <v>168</v>
      </c>
      <c r="D5" s="7">
        <v>1400000</v>
      </c>
      <c r="E5" s="7">
        <v>1400000</v>
      </c>
      <c r="F5" s="20" t="s">
        <v>168</v>
      </c>
      <c r="G5" s="20" t="s">
        <v>144</v>
      </c>
      <c r="H5" s="20" t="s">
        <v>145</v>
      </c>
    </row>
    <row r="6" spans="1:8" ht="19.95" customHeight="1" x14ac:dyDescent="0.3">
      <c r="A6" s="10">
        <v>2</v>
      </c>
      <c r="B6" s="20"/>
      <c r="C6" s="20"/>
      <c r="D6" s="7"/>
      <c r="E6" s="7"/>
      <c r="F6" s="20"/>
      <c r="G6" s="20"/>
      <c r="H6" s="20"/>
    </row>
    <row r="7" spans="1:8" ht="19.95" customHeight="1" x14ac:dyDescent="0.3">
      <c r="A7" s="3">
        <v>3</v>
      </c>
      <c r="B7" s="20"/>
      <c r="C7" s="20"/>
      <c r="D7" s="7"/>
      <c r="E7" s="7"/>
      <c r="F7" s="20"/>
      <c r="G7" s="20"/>
      <c r="H7" s="20"/>
    </row>
    <row r="8" spans="1:8" ht="19.95" customHeight="1" x14ac:dyDescent="0.3">
      <c r="A8" s="10">
        <v>4</v>
      </c>
      <c r="B8" s="20"/>
      <c r="C8" s="20"/>
      <c r="D8" s="7"/>
      <c r="E8" s="7"/>
      <c r="F8" s="20"/>
      <c r="G8" s="20"/>
      <c r="H8" s="20"/>
    </row>
    <row r="9" spans="1:8" ht="19.95" customHeight="1" x14ac:dyDescent="0.3">
      <c r="A9" s="3">
        <v>5</v>
      </c>
      <c r="B9" s="20"/>
      <c r="C9" s="20"/>
      <c r="D9" s="7"/>
      <c r="E9" s="7"/>
      <c r="F9" s="20"/>
      <c r="G9" s="20"/>
      <c r="H9" s="20"/>
    </row>
    <row r="10" spans="1:8" ht="19.95" customHeight="1" x14ac:dyDescent="0.3">
      <c r="A10" s="10">
        <v>6</v>
      </c>
      <c r="B10" s="20"/>
      <c r="C10" s="20"/>
      <c r="D10" s="7"/>
      <c r="E10" s="7"/>
      <c r="F10" s="20"/>
      <c r="G10" s="20"/>
      <c r="H10" s="20"/>
    </row>
    <row r="11" spans="1:8" ht="19.95" customHeight="1" x14ac:dyDescent="0.3">
      <c r="A11" s="3">
        <v>7</v>
      </c>
      <c r="B11" s="20"/>
      <c r="C11" s="20"/>
      <c r="D11" s="7"/>
      <c r="E11" s="7"/>
      <c r="F11" s="20"/>
      <c r="G11" s="20"/>
      <c r="H11" s="20"/>
    </row>
    <row r="12" spans="1:8" ht="19.95" customHeight="1" x14ac:dyDescent="0.3">
      <c r="A12" s="10">
        <v>8</v>
      </c>
      <c r="B12" s="20"/>
      <c r="C12" s="20"/>
      <c r="D12" s="7"/>
      <c r="E12" s="7"/>
      <c r="F12" s="20"/>
      <c r="G12" s="20"/>
      <c r="H12" s="20"/>
    </row>
    <row r="13" spans="1:8" ht="19.95" customHeight="1" x14ac:dyDescent="0.3">
      <c r="A13" s="3">
        <v>9</v>
      </c>
      <c r="B13" s="20"/>
      <c r="C13" s="20"/>
      <c r="D13" s="7"/>
      <c r="E13" s="7"/>
      <c r="F13" s="20"/>
      <c r="G13" s="20"/>
      <c r="H13" s="20"/>
    </row>
    <row r="14" spans="1:8" ht="19.95" customHeight="1" x14ac:dyDescent="0.3">
      <c r="A14" s="10">
        <v>10</v>
      </c>
      <c r="B14" s="20"/>
      <c r="C14" s="20"/>
      <c r="D14" s="7"/>
      <c r="E14" s="7"/>
      <c r="F14" s="20"/>
      <c r="G14" s="20"/>
      <c r="H14" s="20"/>
    </row>
    <row r="15" spans="1:8" ht="19.95" customHeight="1" x14ac:dyDescent="0.3">
      <c r="A15" s="3">
        <v>11</v>
      </c>
      <c r="B15" s="20"/>
      <c r="C15" s="20"/>
      <c r="D15" s="7"/>
      <c r="E15" s="7"/>
      <c r="F15" s="20"/>
      <c r="G15" s="20"/>
      <c r="H15" s="20"/>
    </row>
    <row r="16" spans="1:8" ht="19.95" customHeight="1" x14ac:dyDescent="0.3">
      <c r="A16" s="10">
        <v>12</v>
      </c>
      <c r="B16" s="20"/>
      <c r="C16" s="20"/>
      <c r="D16" s="7"/>
      <c r="E16" s="7"/>
      <c r="F16" s="20"/>
      <c r="G16" s="20"/>
      <c r="H16" s="20"/>
    </row>
    <row r="17" spans="1:8" ht="19.95" customHeight="1" x14ac:dyDescent="0.3">
      <c r="A17" s="3">
        <v>13</v>
      </c>
      <c r="B17" s="20"/>
      <c r="C17" s="20"/>
      <c r="D17" s="7"/>
      <c r="E17" s="7"/>
      <c r="F17" s="20"/>
      <c r="G17" s="20"/>
      <c r="H17" s="20"/>
    </row>
    <row r="18" spans="1:8" ht="19.95" customHeight="1" x14ac:dyDescent="0.3">
      <c r="A18" s="10">
        <v>14</v>
      </c>
      <c r="B18" s="20"/>
      <c r="C18" s="20"/>
      <c r="D18" s="7"/>
      <c r="E18" s="7"/>
      <c r="F18" s="20"/>
      <c r="G18" s="20"/>
      <c r="H18" s="20"/>
    </row>
    <row r="19" spans="1:8" ht="19.95" customHeight="1" x14ac:dyDescent="0.3">
      <c r="A19" s="3">
        <v>15</v>
      </c>
      <c r="B19" s="20"/>
      <c r="C19" s="20"/>
      <c r="D19" s="7"/>
      <c r="E19" s="7"/>
      <c r="F19" s="20"/>
      <c r="G19" s="20"/>
      <c r="H19" s="20"/>
    </row>
    <row r="20" spans="1:8" ht="19.95" customHeight="1" x14ac:dyDescent="0.3">
      <c r="A20" s="10">
        <v>16</v>
      </c>
      <c r="B20" s="20"/>
      <c r="C20" s="20"/>
      <c r="D20" s="7"/>
      <c r="E20" s="7"/>
      <c r="F20" s="20"/>
      <c r="G20" s="20"/>
      <c r="H20" s="20"/>
    </row>
    <row r="21" spans="1:8" ht="19.95" customHeight="1" x14ac:dyDescent="0.3">
      <c r="A21" s="3">
        <v>17</v>
      </c>
      <c r="B21" s="20"/>
      <c r="C21" s="20"/>
      <c r="D21" s="7"/>
      <c r="E21" s="7"/>
      <c r="F21" s="20"/>
      <c r="G21" s="20"/>
      <c r="H21" s="20"/>
    </row>
    <row r="22" spans="1:8" ht="19.95" customHeight="1" x14ac:dyDescent="0.3">
      <c r="A22" s="10">
        <v>18</v>
      </c>
      <c r="B22" s="20"/>
      <c r="C22" s="20"/>
      <c r="D22" s="7"/>
      <c r="E22" s="7"/>
      <c r="F22" s="20"/>
      <c r="G22" s="20"/>
      <c r="H22" s="20"/>
    </row>
    <row r="23" spans="1:8" ht="19.95" customHeight="1" x14ac:dyDescent="0.3">
      <c r="A23" s="3">
        <v>19</v>
      </c>
      <c r="B23" s="20"/>
      <c r="C23" s="20"/>
      <c r="D23" s="7"/>
      <c r="E23" s="7"/>
      <c r="F23" s="20"/>
      <c r="G23" s="20"/>
      <c r="H23" s="20"/>
    </row>
    <row r="24" spans="1:8" ht="19.95" customHeight="1" x14ac:dyDescent="0.3">
      <c r="A24" s="10">
        <v>20</v>
      </c>
      <c r="B24" s="20"/>
      <c r="C24" s="20"/>
      <c r="D24" s="7"/>
      <c r="E24" s="7"/>
      <c r="F24" s="20"/>
      <c r="G24" s="20"/>
      <c r="H24" s="20"/>
    </row>
    <row r="25" spans="1:8" ht="25.95" customHeight="1" x14ac:dyDescent="0.3">
      <c r="A25" s="44" t="s">
        <v>146</v>
      </c>
      <c r="B25" s="32"/>
      <c r="C25" s="32"/>
      <c r="D25" s="21">
        <f>SUM(D5:D24)</f>
        <v>1400000</v>
      </c>
      <c r="E25" s="21">
        <f>SUM(E5:E24)</f>
        <v>1400000</v>
      </c>
      <c r="F25" s="17"/>
      <c r="G25" s="17"/>
      <c r="H25" s="17"/>
    </row>
    <row r="27" spans="1:8" ht="30" customHeight="1" x14ac:dyDescent="0.3">
      <c r="A27" s="38" t="s">
        <v>147</v>
      </c>
      <c r="B27" s="32"/>
      <c r="C27" s="32"/>
      <c r="D27" s="32"/>
      <c r="E27" s="32"/>
      <c r="F27" s="32"/>
      <c r="G27" s="32"/>
      <c r="H27" s="32"/>
    </row>
  </sheetData>
  <mergeCells count="5">
    <mergeCell ref="A25:C25"/>
    <mergeCell ref="A3:H3"/>
    <mergeCell ref="A2:H2"/>
    <mergeCell ref="A1:H1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7B6B"/>
  </sheetPr>
  <dimension ref="A1:H14"/>
  <sheetViews>
    <sheetView showGridLines="0" workbookViewId="0">
      <pane ySplit="3" topLeftCell="A4" activePane="bottomLeft" state="frozen"/>
      <selection pane="bottomLeft" activeCell="G4" sqref="G4"/>
    </sheetView>
  </sheetViews>
  <sheetFormatPr baseColWidth="10" defaultColWidth="8.88671875" defaultRowHeight="14.4" x14ac:dyDescent="0.3"/>
  <cols>
    <col min="1" max="1" width="5" customWidth="1"/>
    <col min="2" max="2" width="30" customWidth="1"/>
    <col min="3" max="6" width="14" customWidth="1"/>
    <col min="7" max="7" width="16" customWidth="1"/>
    <col min="8" max="8" width="18" customWidth="1"/>
  </cols>
  <sheetData>
    <row r="1" spans="1:8" ht="37.950000000000003" customHeight="1" x14ac:dyDescent="0.3">
      <c r="A1" s="50" t="s">
        <v>148</v>
      </c>
      <c r="B1" s="32"/>
      <c r="C1" s="32"/>
      <c r="D1" s="32"/>
      <c r="E1" s="32"/>
      <c r="F1" s="32"/>
      <c r="G1" s="32"/>
      <c r="H1" s="32"/>
    </row>
    <row r="2" spans="1:8" ht="22.05" customHeight="1" x14ac:dyDescent="0.3">
      <c r="A2" s="41" t="s">
        <v>149</v>
      </c>
      <c r="B2" s="32"/>
      <c r="C2" s="32"/>
      <c r="D2" s="32"/>
      <c r="E2" s="32"/>
      <c r="F2" s="32"/>
      <c r="G2" s="32"/>
      <c r="H2" s="32"/>
    </row>
    <row r="3" spans="1:8" ht="34.950000000000003" customHeight="1" x14ac:dyDescent="0.3">
      <c r="A3" s="22" t="s">
        <v>18</v>
      </c>
      <c r="B3" s="22" t="s">
        <v>150</v>
      </c>
      <c r="C3" s="22" t="s">
        <v>151</v>
      </c>
      <c r="D3" s="22" t="s">
        <v>152</v>
      </c>
      <c r="E3" s="22" t="s">
        <v>153</v>
      </c>
      <c r="F3" s="22" t="s">
        <v>154</v>
      </c>
      <c r="G3" s="22" t="s">
        <v>155</v>
      </c>
      <c r="H3" s="22" t="s">
        <v>156</v>
      </c>
    </row>
    <row r="4" spans="1:8" ht="19.95" customHeight="1" x14ac:dyDescent="0.3">
      <c r="A4" s="10">
        <v>1</v>
      </c>
      <c r="B4" s="23" t="s">
        <v>157</v>
      </c>
      <c r="C4" s="7">
        <v>7000</v>
      </c>
      <c r="D4" s="7">
        <v>9000</v>
      </c>
      <c r="E4" s="7">
        <v>12000</v>
      </c>
      <c r="F4" s="7">
        <v>15000</v>
      </c>
      <c r="G4" s="6">
        <v>30</v>
      </c>
      <c r="H4" s="24">
        <f t="shared" ref="H4:H11" si="0">G4*(C4*0.3+D4*0.4+E4*0.2+F4*0.1)</f>
        <v>288000</v>
      </c>
    </row>
    <row r="5" spans="1:8" ht="19.95" customHeight="1" x14ac:dyDescent="0.3">
      <c r="A5" s="3">
        <v>2</v>
      </c>
      <c r="B5" s="25" t="s">
        <v>158</v>
      </c>
      <c r="C5" s="7">
        <v>8000</v>
      </c>
      <c r="D5" s="7">
        <v>10000</v>
      </c>
      <c r="E5" s="7">
        <v>13000</v>
      </c>
      <c r="F5" s="7">
        <v>16000</v>
      </c>
      <c r="G5" s="6">
        <v>20</v>
      </c>
      <c r="H5" s="24">
        <f t="shared" si="0"/>
        <v>212000</v>
      </c>
    </row>
    <row r="6" spans="1:8" ht="19.95" customHeight="1" x14ac:dyDescent="0.3">
      <c r="A6" s="10">
        <v>3</v>
      </c>
      <c r="B6" s="23" t="s">
        <v>159</v>
      </c>
      <c r="C6" s="7">
        <v>9000</v>
      </c>
      <c r="D6" s="7">
        <v>11000</v>
      </c>
      <c r="E6" s="7">
        <v>14000</v>
      </c>
      <c r="F6" s="7">
        <v>17000</v>
      </c>
      <c r="G6" s="6">
        <v>40</v>
      </c>
      <c r="H6" s="24">
        <f t="shared" si="0"/>
        <v>464000</v>
      </c>
    </row>
    <row r="7" spans="1:8" ht="19.95" customHeight="1" x14ac:dyDescent="0.3">
      <c r="A7" s="3">
        <v>4</v>
      </c>
      <c r="B7" s="25" t="s">
        <v>160</v>
      </c>
      <c r="C7" s="7">
        <v>10000</v>
      </c>
      <c r="D7" s="7">
        <v>12000</v>
      </c>
      <c r="E7" s="7">
        <v>15000</v>
      </c>
      <c r="F7" s="7">
        <v>18000</v>
      </c>
      <c r="G7" s="6">
        <v>20</v>
      </c>
      <c r="H7" s="24">
        <f t="shared" si="0"/>
        <v>252000</v>
      </c>
    </row>
    <row r="8" spans="1:8" ht="19.95" customHeight="1" x14ac:dyDescent="0.3">
      <c r="A8" s="10">
        <v>5</v>
      </c>
      <c r="B8" s="23" t="s">
        <v>161</v>
      </c>
      <c r="C8" s="7">
        <v>12000</v>
      </c>
      <c r="D8" s="7">
        <v>14000</v>
      </c>
      <c r="E8" s="7">
        <v>17000</v>
      </c>
      <c r="F8" s="7">
        <v>20000</v>
      </c>
      <c r="G8" s="6">
        <v>10</v>
      </c>
      <c r="H8" s="24">
        <f t="shared" si="0"/>
        <v>146000</v>
      </c>
    </row>
    <row r="9" spans="1:8" ht="19.95" customHeight="1" x14ac:dyDescent="0.3">
      <c r="A9" s="3">
        <v>6</v>
      </c>
      <c r="B9" s="25" t="s">
        <v>162</v>
      </c>
      <c r="C9" s="7">
        <v>15000</v>
      </c>
      <c r="D9" s="7">
        <v>18000</v>
      </c>
      <c r="E9" s="7">
        <v>20000</v>
      </c>
      <c r="F9" s="7">
        <v>25000</v>
      </c>
      <c r="G9" s="6">
        <v>10</v>
      </c>
      <c r="H9" s="24">
        <f t="shared" si="0"/>
        <v>182000</v>
      </c>
    </row>
    <row r="10" spans="1:8" ht="19.95" customHeight="1" x14ac:dyDescent="0.3">
      <c r="A10" s="10">
        <v>7</v>
      </c>
      <c r="B10" s="23" t="s">
        <v>163</v>
      </c>
      <c r="C10" s="7">
        <v>12000</v>
      </c>
      <c r="D10" s="7">
        <v>12000</v>
      </c>
      <c r="E10" s="7">
        <v>12000</v>
      </c>
      <c r="F10" s="7">
        <v>12000</v>
      </c>
      <c r="G10" s="6">
        <v>10</v>
      </c>
      <c r="H10" s="24">
        <f t="shared" si="0"/>
        <v>120000</v>
      </c>
    </row>
    <row r="11" spans="1:8" ht="19.95" customHeight="1" x14ac:dyDescent="0.3">
      <c r="A11" s="3">
        <v>8</v>
      </c>
      <c r="B11" s="25" t="s">
        <v>164</v>
      </c>
      <c r="C11" s="7">
        <v>0</v>
      </c>
      <c r="D11" s="7">
        <v>0</v>
      </c>
      <c r="E11" s="7">
        <v>0</v>
      </c>
      <c r="F11" s="7">
        <v>0</v>
      </c>
      <c r="G11" s="6">
        <v>5</v>
      </c>
      <c r="H11" s="24">
        <f t="shared" si="0"/>
        <v>0</v>
      </c>
    </row>
    <row r="12" spans="1:8" ht="25.95" customHeight="1" x14ac:dyDescent="0.3">
      <c r="A12" s="49" t="s">
        <v>165</v>
      </c>
      <c r="B12" s="32"/>
      <c r="C12" s="32"/>
      <c r="D12" s="32"/>
      <c r="E12" s="32"/>
      <c r="F12" s="32"/>
      <c r="G12" s="32"/>
      <c r="H12" s="26">
        <f>SUM(H4:H11)</f>
        <v>1664000</v>
      </c>
    </row>
    <row r="14" spans="1:8" ht="30" customHeight="1" x14ac:dyDescent="0.3">
      <c r="A14" s="38" t="s">
        <v>166</v>
      </c>
      <c r="B14" s="32"/>
      <c r="C14" s="32"/>
      <c r="D14" s="32"/>
      <c r="E14" s="32"/>
      <c r="F14" s="32"/>
      <c r="G14" s="32"/>
      <c r="H14" s="32"/>
    </row>
  </sheetData>
  <mergeCells count="4">
    <mergeCell ref="A14:H14"/>
    <mergeCell ref="A2:H2"/>
    <mergeCell ref="A12:G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📊 Resumen</vt:lpstr>
      <vt:lpstr>💰 Gastos</vt:lpstr>
      <vt:lpstr>🤝 Auspicios</vt:lpstr>
      <vt:lpstr>🎟️ 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Matías Saavedra Vásquez</cp:lastModifiedBy>
  <dcterms:created xsi:type="dcterms:W3CDTF">2026-05-01T17:04:32Z</dcterms:created>
  <dcterms:modified xsi:type="dcterms:W3CDTF">2026-05-01T17:17:56Z</dcterms:modified>
</cp:coreProperties>
</file>